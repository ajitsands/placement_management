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rojects\Claims\"/>
    </mc:Choice>
  </mc:AlternateContent>
  <xr:revisionPtr revIDLastSave="0" documentId="8_{82175E33-5F1F-4A97-9CCD-0590BC4FD87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ashboard" sheetId="23" r:id="rId1"/>
    <sheet name="Placements 25" sheetId="26" r:id="rId2"/>
    <sheet name="Placements 26" sheetId="3" r:id="rId3"/>
    <sheet name="Claims 26" sheetId="5" r:id="rId4"/>
    <sheet name="Dropdown" sheetId="4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4" i="5" l="1"/>
  <c r="C89" i="5"/>
  <c r="A362" i="3"/>
  <c r="A361" i="3"/>
  <c r="A360" i="3"/>
  <c r="A359" i="3"/>
  <c r="A2" i="3"/>
  <c r="A2" i="5" s="1"/>
  <c r="A3" i="3"/>
  <c r="A3" i="5" s="1"/>
  <c r="A4" i="3"/>
  <c r="A4" i="5" s="1"/>
  <c r="A5" i="3"/>
  <c r="A5" i="5" s="1"/>
  <c r="A6" i="3"/>
  <c r="A6" i="5" s="1"/>
  <c r="A7" i="3"/>
  <c r="A7" i="5" s="1"/>
  <c r="A8" i="3"/>
  <c r="A8" i="5" s="1"/>
  <c r="A9" i="3"/>
  <c r="A9" i="5" s="1"/>
  <c r="A10" i="3"/>
  <c r="A10" i="5" s="1"/>
  <c r="A11" i="3"/>
  <c r="A11" i="5" s="1"/>
  <c r="A12" i="3"/>
  <c r="A12" i="5" s="1"/>
  <c r="A13" i="3"/>
  <c r="A13" i="5" s="1"/>
  <c r="A14" i="3"/>
  <c r="A14" i="5" s="1"/>
  <c r="A15" i="3"/>
  <c r="A15" i="5" s="1"/>
  <c r="A16" i="3"/>
  <c r="A16" i="5" s="1"/>
  <c r="A17" i="3"/>
  <c r="A17" i="5" s="1"/>
  <c r="A18" i="3"/>
  <c r="A18" i="5" s="1"/>
  <c r="A19" i="3"/>
  <c r="A19" i="5" s="1"/>
  <c r="A20" i="3"/>
  <c r="A20" i="5" s="1"/>
  <c r="A21" i="3"/>
  <c r="A21" i="5" s="1"/>
  <c r="A22" i="3"/>
  <c r="A22" i="5" s="1"/>
  <c r="A23" i="3"/>
  <c r="A23" i="5" s="1"/>
  <c r="A24" i="3"/>
  <c r="A24" i="5" s="1"/>
  <c r="A25" i="3"/>
  <c r="A25" i="5" s="1"/>
  <c r="A26" i="3"/>
  <c r="A26" i="5" s="1"/>
  <c r="A27" i="3"/>
  <c r="A27" i="5" s="1"/>
  <c r="A28" i="3"/>
  <c r="A28" i="5" s="1"/>
  <c r="A29" i="3"/>
  <c r="A29" i="5" s="1"/>
  <c r="A30" i="3"/>
  <c r="A30" i="5" s="1"/>
  <c r="A31" i="3"/>
  <c r="A31" i="5" s="1"/>
  <c r="A32" i="3"/>
  <c r="A32" i="5" s="1"/>
  <c r="A33" i="3"/>
  <c r="A33" i="5" s="1"/>
  <c r="A34" i="3"/>
  <c r="A34" i="5" s="1"/>
  <c r="A35" i="3"/>
  <c r="A35" i="5" s="1"/>
  <c r="A36" i="3"/>
  <c r="A36" i="5" s="1"/>
  <c r="A37" i="3"/>
  <c r="A37" i="5" s="1"/>
  <c r="A38" i="3"/>
  <c r="A38" i="5" s="1"/>
  <c r="A39" i="3"/>
  <c r="A39" i="5" s="1"/>
  <c r="A40" i="3"/>
  <c r="A40" i="5" s="1"/>
  <c r="A41" i="3"/>
  <c r="A41" i="5" s="1"/>
  <c r="A42" i="3"/>
  <c r="A42" i="5" s="1"/>
  <c r="A43" i="3"/>
  <c r="A43" i="5" s="1"/>
  <c r="A44" i="3"/>
  <c r="A44" i="5" s="1"/>
  <c r="A45" i="3"/>
  <c r="A45" i="5" s="1"/>
  <c r="A46" i="3"/>
  <c r="A46" i="5" s="1"/>
  <c r="A47" i="3"/>
  <c r="A47" i="5" s="1"/>
  <c r="A48" i="3"/>
  <c r="A48" i="5" s="1"/>
  <c r="A49" i="3"/>
  <c r="A49" i="5" s="1"/>
  <c r="A50" i="3"/>
  <c r="A50" i="5" s="1"/>
  <c r="A51" i="3"/>
  <c r="A51" i="5" s="1"/>
  <c r="A52" i="3"/>
  <c r="A52" i="5" s="1"/>
  <c r="A53" i="3"/>
  <c r="A53" i="5" s="1"/>
  <c r="A54" i="3"/>
  <c r="A54" i="5" s="1"/>
  <c r="A55" i="3"/>
  <c r="A55" i="5" s="1"/>
  <c r="A56" i="3"/>
  <c r="A56" i="5" s="1"/>
  <c r="A57" i="3"/>
  <c r="A57" i="5" s="1"/>
  <c r="A58" i="3"/>
  <c r="A58" i="5" s="1"/>
  <c r="A59" i="3"/>
  <c r="A59" i="5" s="1"/>
  <c r="A60" i="3"/>
  <c r="A60" i="5" s="1"/>
  <c r="A61" i="3"/>
  <c r="A61" i="5" s="1"/>
  <c r="A62" i="3"/>
  <c r="A62" i="5" s="1"/>
  <c r="A63" i="3"/>
  <c r="A63" i="5" s="1"/>
  <c r="A64" i="3"/>
  <c r="A64" i="5" s="1"/>
  <c r="A65" i="3"/>
  <c r="A65" i="5" s="1"/>
  <c r="A66" i="3"/>
  <c r="A66" i="5" s="1"/>
  <c r="A67" i="3"/>
  <c r="A67" i="5" s="1"/>
  <c r="A68" i="3"/>
  <c r="A68" i="5" s="1"/>
  <c r="A69" i="3"/>
  <c r="A69" i="5" s="1"/>
  <c r="A70" i="3"/>
  <c r="A70" i="5" s="1"/>
  <c r="A71" i="3"/>
  <c r="A71" i="5" s="1"/>
  <c r="A72" i="3"/>
  <c r="A72" i="5" s="1"/>
  <c r="A73" i="3"/>
  <c r="A73" i="5" s="1"/>
  <c r="A74" i="3"/>
  <c r="A74" i="5" s="1"/>
  <c r="A75" i="3"/>
  <c r="A75" i="5" s="1"/>
  <c r="A76" i="3"/>
  <c r="A76" i="5" s="1"/>
  <c r="A77" i="3"/>
  <c r="A77" i="5" s="1"/>
  <c r="A78" i="3"/>
  <c r="A78" i="5" s="1"/>
  <c r="A79" i="3"/>
  <c r="A79" i="5" s="1"/>
  <c r="A80" i="3"/>
  <c r="A80" i="5" s="1"/>
  <c r="A81" i="3"/>
  <c r="A81" i="5" s="1"/>
  <c r="A82" i="3"/>
  <c r="A82" i="5" s="1"/>
  <c r="A83" i="3"/>
  <c r="A83" i="5" s="1"/>
  <c r="A84" i="3"/>
  <c r="A84" i="5" s="1"/>
  <c r="A85" i="3"/>
  <c r="A85" i="5" s="1"/>
  <c r="A86" i="3"/>
  <c r="A86" i="5" s="1"/>
  <c r="A87" i="3"/>
  <c r="A87" i="5" s="1"/>
  <c r="A88" i="3"/>
  <c r="A88" i="5" s="1"/>
  <c r="A89" i="3"/>
  <c r="A89" i="5" s="1"/>
  <c r="A90" i="3"/>
  <c r="A90" i="5" s="1"/>
  <c r="A91" i="3"/>
  <c r="A91" i="5" s="1"/>
  <c r="A92" i="3"/>
  <c r="A92" i="5" s="1"/>
  <c r="A93" i="3"/>
  <c r="A93" i="5" s="1"/>
  <c r="A94" i="3"/>
  <c r="A94" i="5" s="1"/>
  <c r="A95" i="3"/>
  <c r="A95" i="5" s="1"/>
  <c r="A96" i="3"/>
  <c r="A96" i="5" s="1"/>
  <c r="A97" i="3"/>
  <c r="A97" i="5" s="1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29" i="5" s="1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2" i="5" s="1"/>
  <c r="A143" i="3"/>
  <c r="A143" i="5" s="1"/>
  <c r="A144" i="3"/>
  <c r="A145" i="3"/>
  <c r="A146" i="3"/>
  <c r="A147" i="3"/>
  <c r="A148" i="3"/>
  <c r="A149" i="3"/>
  <c r="A150" i="3"/>
  <c r="A150" i="5" s="1"/>
  <c r="A151" i="3"/>
  <c r="A152" i="3"/>
  <c r="A153" i="3"/>
  <c r="A154" i="3"/>
  <c r="A155" i="3"/>
  <c r="A156" i="3"/>
  <c r="A156" i="5" s="1"/>
  <c r="A157" i="3"/>
  <c r="A158" i="3"/>
  <c r="A159" i="3"/>
  <c r="A160" i="3"/>
  <c r="A161" i="3"/>
  <c r="A162" i="3"/>
  <c r="A162" i="5" s="1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1" i="5" s="1"/>
  <c r="A202" i="3"/>
  <c r="A203" i="3"/>
  <c r="A204" i="3"/>
  <c r="A205" i="3"/>
  <c r="A206" i="3"/>
  <c r="A207" i="3"/>
  <c r="A208" i="3"/>
  <c r="A208" i="5" s="1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1" i="5" s="1"/>
  <c r="A222" i="3"/>
  <c r="A222" i="5" s="1"/>
  <c r="A223" i="3"/>
  <c r="A223" i="5" s="1"/>
  <c r="A224" i="3"/>
  <c r="A224" i="5" s="1"/>
  <c r="A225" i="3"/>
  <c r="A225" i="5" s="1"/>
  <c r="A226" i="3"/>
  <c r="A226" i="5" s="1"/>
  <c r="A227" i="3"/>
  <c r="A227" i="5" s="1"/>
  <c r="A228" i="3"/>
  <c r="A228" i="5" s="1"/>
  <c r="A229" i="3"/>
  <c r="A229" i="5" s="1"/>
  <c r="A230" i="3"/>
  <c r="A230" i="5" s="1"/>
  <c r="A231" i="3"/>
  <c r="A231" i="5" s="1"/>
  <c r="A232" i="3"/>
  <c r="A232" i="5" s="1"/>
  <c r="A233" i="3"/>
  <c r="A233" i="5" s="1"/>
  <c r="A234" i="3"/>
  <c r="A234" i="5" s="1"/>
  <c r="A235" i="3"/>
  <c r="A235" i="5" s="1"/>
  <c r="A236" i="3"/>
  <c r="A236" i="5" s="1"/>
  <c r="A237" i="3"/>
  <c r="A237" i="5" s="1"/>
  <c r="A238" i="3"/>
  <c r="A238" i="5" s="1"/>
  <c r="A239" i="3"/>
  <c r="A239" i="5" s="1"/>
  <c r="A240" i="3"/>
  <c r="A240" i="5" s="1"/>
  <c r="A241" i="3"/>
  <c r="A241" i="5" s="1"/>
  <c r="A242" i="3"/>
  <c r="A242" i="5" s="1"/>
  <c r="A243" i="3"/>
  <c r="A243" i="5" s="1"/>
  <c r="A244" i="3"/>
  <c r="A244" i="5" s="1"/>
  <c r="A245" i="3"/>
  <c r="A245" i="5" s="1"/>
  <c r="A246" i="3"/>
  <c r="A246" i="5" s="1"/>
  <c r="A247" i="3"/>
  <c r="A247" i="5" s="1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2" i="5" s="1"/>
  <c r="A263" i="3"/>
  <c r="A263" i="5" s="1"/>
  <c r="A264" i="3"/>
  <c r="A264" i="5" s="1"/>
  <c r="A265" i="3"/>
  <c r="A265" i="5" s="1"/>
  <c r="A266" i="3"/>
  <c r="A266" i="5" s="1"/>
  <c r="A267" i="3"/>
  <c r="A267" i="5" s="1"/>
  <c r="A268" i="3"/>
  <c r="A268" i="5" s="1"/>
  <c r="A269" i="3"/>
  <c r="A269" i="5" s="1"/>
  <c r="A270" i="3"/>
  <c r="A270" i="5" s="1"/>
  <c r="A271" i="3"/>
  <c r="A271" i="5" s="1"/>
  <c r="A272" i="3"/>
  <c r="A272" i="5" s="1"/>
  <c r="A273" i="3"/>
  <c r="A273" i="5" s="1"/>
  <c r="A274" i="3"/>
  <c r="A274" i="5" s="1"/>
  <c r="A275" i="3"/>
  <c r="A275" i="5" s="1"/>
  <c r="A276" i="3"/>
  <c r="A276" i="5" s="1"/>
  <c r="A277" i="3"/>
  <c r="A277" i="5" s="1"/>
  <c r="A278" i="3"/>
  <c r="A278" i="5" s="1"/>
  <c r="A279" i="3"/>
  <c r="A279" i="5" s="1"/>
  <c r="A280" i="3"/>
  <c r="A280" i="5" s="1"/>
  <c r="A281" i="3"/>
  <c r="A281" i="5" s="1"/>
  <c r="A282" i="3"/>
  <c r="A282" i="5" s="1"/>
  <c r="A283" i="3"/>
  <c r="A283" i="5" s="1"/>
  <c r="A284" i="3"/>
  <c r="A284" i="5" s="1"/>
  <c r="A285" i="3"/>
  <c r="A285" i="5" s="1"/>
  <c r="A286" i="3"/>
  <c r="A286" i="5" s="1"/>
  <c r="A287" i="3"/>
  <c r="A287" i="5" s="1"/>
  <c r="A288" i="3"/>
  <c r="A288" i="5" s="1"/>
  <c r="A289" i="3"/>
  <c r="A289" i="5" s="1"/>
  <c r="A290" i="3"/>
  <c r="A290" i="5" s="1"/>
  <c r="A291" i="3"/>
  <c r="A291" i="5" s="1"/>
  <c r="A292" i="3"/>
  <c r="A292" i="5" s="1"/>
  <c r="A293" i="3"/>
  <c r="A293" i="5" s="1"/>
  <c r="A294" i="3"/>
  <c r="A294" i="5" s="1"/>
  <c r="A295" i="3"/>
  <c r="A295" i="5" s="1"/>
  <c r="A296" i="3"/>
  <c r="A296" i="5" s="1"/>
  <c r="A297" i="3"/>
  <c r="A297" i="5" s="1"/>
  <c r="A298" i="3"/>
  <c r="A298" i="5" s="1"/>
  <c r="A299" i="3"/>
  <c r="A299" i="5" s="1"/>
  <c r="A300" i="3"/>
  <c r="A300" i="5" s="1"/>
  <c r="A301" i="3"/>
  <c r="A301" i="5" s="1"/>
  <c r="A302" i="3"/>
  <c r="A302" i="5" s="1"/>
  <c r="A303" i="3"/>
  <c r="A303" i="5" s="1"/>
  <c r="A304" i="3"/>
  <c r="A304" i="5" s="1"/>
  <c r="A305" i="3"/>
  <c r="A305" i="5" s="1"/>
  <c r="A306" i="3"/>
  <c r="A306" i="5" s="1"/>
  <c r="A307" i="3"/>
  <c r="A307" i="5" s="1"/>
  <c r="A308" i="3"/>
  <c r="A308" i="5" s="1"/>
  <c r="A309" i="3"/>
  <c r="A309" i="5" s="1"/>
  <c r="A310" i="3"/>
  <c r="A310" i="5" s="1"/>
  <c r="A311" i="3"/>
  <c r="A311" i="5" s="1"/>
  <c r="A312" i="3"/>
  <c r="A312" i="5" s="1"/>
  <c r="A313" i="3"/>
  <c r="A313" i="5" s="1"/>
  <c r="A314" i="3"/>
  <c r="A314" i="5" s="1"/>
  <c r="A315" i="3"/>
  <c r="A315" i="5" s="1"/>
  <c r="A316" i="3"/>
  <c r="A316" i="5" s="1"/>
  <c r="A317" i="3"/>
  <c r="A317" i="5" s="1"/>
  <c r="A318" i="3"/>
  <c r="A318" i="5" s="1"/>
  <c r="A319" i="3"/>
  <c r="A319" i="5" s="1"/>
  <c r="A320" i="3"/>
  <c r="A320" i="5" s="1"/>
  <c r="A321" i="3"/>
  <c r="A321" i="5" s="1"/>
  <c r="A322" i="3"/>
  <c r="A322" i="5" s="1"/>
  <c r="A323" i="3"/>
  <c r="A323" i="5" s="1"/>
  <c r="A324" i="3"/>
  <c r="A324" i="5" s="1"/>
  <c r="A325" i="3"/>
  <c r="A325" i="5" s="1"/>
  <c r="A326" i="3"/>
  <c r="A326" i="5" s="1"/>
  <c r="A327" i="3"/>
  <c r="A327" i="5" s="1"/>
  <c r="A328" i="3"/>
  <c r="A328" i="5" s="1"/>
  <c r="A329" i="3"/>
  <c r="A329" i="5" s="1"/>
  <c r="A330" i="3"/>
  <c r="A330" i="5" s="1"/>
  <c r="A331" i="3"/>
  <c r="A331" i="5" s="1"/>
  <c r="A332" i="3"/>
  <c r="A332" i="5" s="1"/>
  <c r="A333" i="3"/>
  <c r="A333" i="5" s="1"/>
  <c r="A334" i="3"/>
  <c r="A334" i="5" s="1"/>
  <c r="A335" i="3"/>
  <c r="A335" i="5" s="1"/>
  <c r="A336" i="3"/>
  <c r="A336" i="5" s="1"/>
  <c r="A337" i="3"/>
  <c r="A337" i="5" s="1"/>
  <c r="A338" i="3"/>
  <c r="A338" i="5" s="1"/>
  <c r="A339" i="3"/>
  <c r="A339" i="5" s="1"/>
  <c r="A340" i="3"/>
  <c r="A340" i="5" s="1"/>
  <c r="A341" i="3"/>
  <c r="A341" i="5" s="1"/>
  <c r="A342" i="3"/>
  <c r="A342" i="5" s="1"/>
  <c r="A343" i="3"/>
  <c r="A343" i="5" s="1"/>
  <c r="A344" i="3"/>
  <c r="A344" i="5" s="1"/>
  <c r="A345" i="3"/>
  <c r="A345" i="5" s="1"/>
  <c r="A346" i="3"/>
  <c r="A346" i="5" s="1"/>
  <c r="A347" i="3"/>
  <c r="A347" i="5" s="1"/>
  <c r="A348" i="3"/>
  <c r="A348" i="5" s="1"/>
  <c r="A349" i="3"/>
  <c r="A349" i="5" s="1"/>
  <c r="A350" i="3"/>
  <c r="A351" i="3"/>
  <c r="A352" i="3"/>
  <c r="A353" i="3"/>
  <c r="A354" i="3"/>
  <c r="A355" i="3"/>
  <c r="A356" i="3"/>
  <c r="A357" i="3"/>
  <c r="A358" i="3"/>
  <c r="E205" i="5"/>
  <c r="E204" i="5"/>
  <c r="C202" i="5"/>
  <c r="E203" i="5"/>
  <c r="E202" i="5"/>
  <c r="E201" i="5"/>
  <c r="E200" i="5"/>
  <c r="O200" i="5" s="1"/>
  <c r="E199" i="5"/>
  <c r="E198" i="5"/>
  <c r="E191" i="5"/>
  <c r="E192" i="5"/>
  <c r="E193" i="5"/>
  <c r="E194" i="5"/>
  <c r="E195" i="5"/>
  <c r="E196" i="5"/>
  <c r="E197" i="5"/>
  <c r="E190" i="5"/>
  <c r="D14" i="5"/>
  <c r="C3" i="5"/>
  <c r="B184" i="5"/>
  <c r="C172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B155" i="5"/>
  <c r="B137" i="5"/>
  <c r="E127" i="5"/>
  <c r="D131" i="5"/>
  <c r="B142" i="5"/>
  <c r="D142" i="5"/>
  <c r="E142" i="5"/>
  <c r="K142" i="5" s="1"/>
  <c r="L142" i="5" s="1"/>
  <c r="N142" i="5" s="1"/>
  <c r="J142" i="5"/>
  <c r="O142" i="5"/>
  <c r="B143" i="5"/>
  <c r="D143" i="5"/>
  <c r="E143" i="5"/>
  <c r="K143" i="5" s="1"/>
  <c r="L143" i="5" s="1"/>
  <c r="N143" i="5" s="1"/>
  <c r="J143" i="5"/>
  <c r="O143" i="5"/>
  <c r="A144" i="5"/>
  <c r="B144" i="5"/>
  <c r="D144" i="5"/>
  <c r="E144" i="5"/>
  <c r="K144" i="5" s="1"/>
  <c r="L144" i="5" s="1"/>
  <c r="N144" i="5" s="1"/>
  <c r="J144" i="5"/>
  <c r="O144" i="5"/>
  <c r="A145" i="5"/>
  <c r="B145" i="5"/>
  <c r="D145" i="5"/>
  <c r="E145" i="5"/>
  <c r="J145" i="5"/>
  <c r="K145" i="5"/>
  <c r="L145" i="5" s="1"/>
  <c r="N145" i="5" s="1"/>
  <c r="O145" i="5"/>
  <c r="A146" i="5"/>
  <c r="B146" i="5"/>
  <c r="D146" i="5"/>
  <c r="E146" i="5"/>
  <c r="J146" i="5"/>
  <c r="A147" i="5"/>
  <c r="B147" i="5"/>
  <c r="D147" i="5"/>
  <c r="E147" i="5"/>
  <c r="O147" i="5" s="1"/>
  <c r="J147" i="5"/>
  <c r="A148" i="5"/>
  <c r="B148" i="5"/>
  <c r="D148" i="5"/>
  <c r="E148" i="5"/>
  <c r="O148" i="5" s="1"/>
  <c r="J148" i="5"/>
  <c r="K148" i="5"/>
  <c r="L148" i="5" s="1"/>
  <c r="N148" i="5" s="1"/>
  <c r="A149" i="5"/>
  <c r="B149" i="5"/>
  <c r="D149" i="5"/>
  <c r="E149" i="5"/>
  <c r="O149" i="5" s="1"/>
  <c r="J149" i="5"/>
  <c r="K149" i="5"/>
  <c r="L149" i="5" s="1"/>
  <c r="N149" i="5" s="1"/>
  <c r="B150" i="5"/>
  <c r="D150" i="5"/>
  <c r="E150" i="5"/>
  <c r="J150" i="5"/>
  <c r="K150" i="5"/>
  <c r="L150" i="5"/>
  <c r="N150" i="5" s="1"/>
  <c r="O150" i="5"/>
  <c r="A151" i="5"/>
  <c r="B151" i="5"/>
  <c r="D151" i="5"/>
  <c r="E151" i="5"/>
  <c r="J151" i="5"/>
  <c r="K151" i="5"/>
  <c r="L151" i="5"/>
  <c r="N151" i="5" s="1"/>
  <c r="O151" i="5"/>
  <c r="A152" i="5"/>
  <c r="B152" i="5"/>
  <c r="D152" i="5"/>
  <c r="E152" i="5"/>
  <c r="O152" i="5" s="1"/>
  <c r="J152" i="5"/>
  <c r="K152" i="5"/>
  <c r="L152" i="5" s="1"/>
  <c r="N152" i="5" s="1"/>
  <c r="A153" i="5"/>
  <c r="B153" i="5"/>
  <c r="D153" i="5"/>
  <c r="E153" i="5"/>
  <c r="K153" i="5" s="1"/>
  <c r="L153" i="5" s="1"/>
  <c r="N153" i="5" s="1"/>
  <c r="J153" i="5"/>
  <c r="O153" i="5"/>
  <c r="A154" i="5"/>
  <c r="B154" i="5"/>
  <c r="D154" i="5"/>
  <c r="E154" i="5"/>
  <c r="K154" i="5" s="1"/>
  <c r="L154" i="5" s="1"/>
  <c r="N154" i="5" s="1"/>
  <c r="J154" i="5"/>
  <c r="A155" i="5"/>
  <c r="D155" i="5"/>
  <c r="E155" i="5"/>
  <c r="O155" i="5" s="1"/>
  <c r="J155" i="5"/>
  <c r="B156" i="5"/>
  <c r="D156" i="5"/>
  <c r="E156" i="5"/>
  <c r="O156" i="5" s="1"/>
  <c r="J156" i="5"/>
  <c r="K156" i="5"/>
  <c r="L156" i="5" s="1"/>
  <c r="N156" i="5" s="1"/>
  <c r="A157" i="5"/>
  <c r="B157" i="5"/>
  <c r="D157" i="5"/>
  <c r="E157" i="5"/>
  <c r="J157" i="5"/>
  <c r="K157" i="5"/>
  <c r="L157" i="5"/>
  <c r="N157" i="5" s="1"/>
  <c r="O157" i="5"/>
  <c r="A158" i="5"/>
  <c r="B158" i="5"/>
  <c r="D158" i="5"/>
  <c r="E158" i="5"/>
  <c r="J158" i="5"/>
  <c r="K158" i="5"/>
  <c r="L158" i="5" s="1"/>
  <c r="N158" i="5" s="1"/>
  <c r="O158" i="5"/>
  <c r="A159" i="5"/>
  <c r="B159" i="5"/>
  <c r="D159" i="5"/>
  <c r="E159" i="5"/>
  <c r="K159" i="5" s="1"/>
  <c r="L159" i="5" s="1"/>
  <c r="N159" i="5" s="1"/>
  <c r="J159" i="5"/>
  <c r="O159" i="5"/>
  <c r="A160" i="5"/>
  <c r="B160" i="5"/>
  <c r="D160" i="5"/>
  <c r="E160" i="5"/>
  <c r="K160" i="5" s="1"/>
  <c r="L160" i="5" s="1"/>
  <c r="N160" i="5" s="1"/>
  <c r="J160" i="5"/>
  <c r="O160" i="5"/>
  <c r="Q160" i="5" s="1"/>
  <c r="R160" i="5" s="1"/>
  <c r="A161" i="5"/>
  <c r="B161" i="5"/>
  <c r="D161" i="5"/>
  <c r="E161" i="5"/>
  <c r="J161" i="5"/>
  <c r="B162" i="5"/>
  <c r="D162" i="5"/>
  <c r="E162" i="5"/>
  <c r="K162" i="5" s="1"/>
  <c r="L162" i="5" s="1"/>
  <c r="N162" i="5" s="1"/>
  <c r="J162" i="5"/>
  <c r="O162" i="5"/>
  <c r="A163" i="5"/>
  <c r="B163" i="5"/>
  <c r="D163" i="5"/>
  <c r="E163" i="5"/>
  <c r="K163" i="5" s="1"/>
  <c r="L163" i="5" s="1"/>
  <c r="N163" i="5" s="1"/>
  <c r="J163" i="5"/>
  <c r="O163" i="5"/>
  <c r="A164" i="5"/>
  <c r="B164" i="5"/>
  <c r="D164" i="5"/>
  <c r="E164" i="5"/>
  <c r="O164" i="5" s="1"/>
  <c r="J164" i="5"/>
  <c r="K164" i="5"/>
  <c r="L164" i="5" s="1"/>
  <c r="N164" i="5" s="1"/>
  <c r="A165" i="5"/>
  <c r="B165" i="5"/>
  <c r="D165" i="5"/>
  <c r="E165" i="5"/>
  <c r="K165" i="5" s="1"/>
  <c r="L165" i="5" s="1"/>
  <c r="N165" i="5" s="1"/>
  <c r="J165" i="5"/>
  <c r="O165" i="5"/>
  <c r="A166" i="5"/>
  <c r="B166" i="5"/>
  <c r="D166" i="5"/>
  <c r="E166" i="5"/>
  <c r="O166" i="5" s="1"/>
  <c r="J166" i="5"/>
  <c r="A167" i="5"/>
  <c r="B167" i="5"/>
  <c r="D167" i="5"/>
  <c r="E167" i="5"/>
  <c r="K167" i="5" s="1"/>
  <c r="L167" i="5" s="1"/>
  <c r="N167" i="5" s="1"/>
  <c r="J167" i="5"/>
  <c r="A168" i="5"/>
  <c r="B168" i="5"/>
  <c r="D168" i="5"/>
  <c r="E168" i="5"/>
  <c r="K168" i="5" s="1"/>
  <c r="L168" i="5" s="1"/>
  <c r="N168" i="5" s="1"/>
  <c r="J168" i="5"/>
  <c r="A169" i="5"/>
  <c r="B169" i="5"/>
  <c r="D169" i="5"/>
  <c r="E169" i="5"/>
  <c r="K169" i="5" s="1"/>
  <c r="L169" i="5" s="1"/>
  <c r="N169" i="5" s="1"/>
  <c r="J169" i="5"/>
  <c r="A170" i="5"/>
  <c r="B170" i="5"/>
  <c r="D170" i="5"/>
  <c r="E170" i="5"/>
  <c r="K170" i="5" s="1"/>
  <c r="L170" i="5" s="1"/>
  <c r="N170" i="5" s="1"/>
  <c r="J170" i="5"/>
  <c r="A171" i="5"/>
  <c r="B171" i="5"/>
  <c r="D171" i="5"/>
  <c r="E171" i="5"/>
  <c r="O171" i="5" s="1"/>
  <c r="J171" i="5"/>
  <c r="K171" i="5"/>
  <c r="L171" i="5" s="1"/>
  <c r="N171" i="5" s="1"/>
  <c r="A172" i="5"/>
  <c r="B172" i="5"/>
  <c r="D172" i="5"/>
  <c r="E172" i="5"/>
  <c r="J172" i="5"/>
  <c r="K172" i="5"/>
  <c r="L172" i="5"/>
  <c r="N172" i="5" s="1"/>
  <c r="O172" i="5"/>
  <c r="A173" i="5"/>
  <c r="B173" i="5"/>
  <c r="D173" i="5"/>
  <c r="E173" i="5"/>
  <c r="J173" i="5"/>
  <c r="K173" i="5"/>
  <c r="L173" i="5"/>
  <c r="N173" i="5" s="1"/>
  <c r="O173" i="5"/>
  <c r="A174" i="5"/>
  <c r="B174" i="5"/>
  <c r="D174" i="5"/>
  <c r="E174" i="5"/>
  <c r="J174" i="5"/>
  <c r="K174" i="5"/>
  <c r="L174" i="5" s="1"/>
  <c r="N174" i="5" s="1"/>
  <c r="O174" i="5"/>
  <c r="A175" i="5"/>
  <c r="B175" i="5"/>
  <c r="D175" i="5"/>
  <c r="E175" i="5"/>
  <c r="K175" i="5" s="1"/>
  <c r="L175" i="5" s="1"/>
  <c r="N175" i="5" s="1"/>
  <c r="J175" i="5"/>
  <c r="O175" i="5"/>
  <c r="A176" i="5"/>
  <c r="B176" i="5"/>
  <c r="D176" i="5"/>
  <c r="E176" i="5"/>
  <c r="K176" i="5" s="1"/>
  <c r="L176" i="5" s="1"/>
  <c r="N176" i="5" s="1"/>
  <c r="J176" i="5"/>
  <c r="O176" i="5"/>
  <c r="A177" i="5"/>
  <c r="B177" i="5"/>
  <c r="D177" i="5"/>
  <c r="E177" i="5"/>
  <c r="O177" i="5" s="1"/>
  <c r="J177" i="5"/>
  <c r="K177" i="5"/>
  <c r="L177" i="5" s="1"/>
  <c r="N177" i="5" s="1"/>
  <c r="A178" i="5"/>
  <c r="B178" i="5"/>
  <c r="D178" i="5"/>
  <c r="E178" i="5"/>
  <c r="K178" i="5" s="1"/>
  <c r="L178" i="5" s="1"/>
  <c r="N178" i="5" s="1"/>
  <c r="J178" i="5"/>
  <c r="O178" i="5"/>
  <c r="A179" i="5"/>
  <c r="B179" i="5"/>
  <c r="D179" i="5"/>
  <c r="E179" i="5"/>
  <c r="O179" i="5" s="1"/>
  <c r="J179" i="5"/>
  <c r="A180" i="5"/>
  <c r="B180" i="5"/>
  <c r="D180" i="5"/>
  <c r="E180" i="5"/>
  <c r="K180" i="5" s="1"/>
  <c r="L180" i="5" s="1"/>
  <c r="N180" i="5" s="1"/>
  <c r="J180" i="5"/>
  <c r="A181" i="5"/>
  <c r="B181" i="5"/>
  <c r="D181" i="5"/>
  <c r="E181" i="5"/>
  <c r="K181" i="5" s="1"/>
  <c r="L181" i="5" s="1"/>
  <c r="N181" i="5" s="1"/>
  <c r="J181" i="5"/>
  <c r="A182" i="5"/>
  <c r="B182" i="5"/>
  <c r="D182" i="5"/>
  <c r="E182" i="5"/>
  <c r="O182" i="5" s="1"/>
  <c r="J182" i="5"/>
  <c r="K182" i="5"/>
  <c r="L182" i="5" s="1"/>
  <c r="N182" i="5" s="1"/>
  <c r="A183" i="5"/>
  <c r="B183" i="5"/>
  <c r="D183" i="5"/>
  <c r="E183" i="5"/>
  <c r="J183" i="5"/>
  <c r="A184" i="5"/>
  <c r="D184" i="5"/>
  <c r="E184" i="5"/>
  <c r="O184" i="5" s="1"/>
  <c r="Q184" i="5" s="1"/>
  <c r="R184" i="5" s="1"/>
  <c r="J184" i="5"/>
  <c r="K184" i="5"/>
  <c r="L184" i="5" s="1"/>
  <c r="N184" i="5" s="1"/>
  <c r="A185" i="5"/>
  <c r="B185" i="5"/>
  <c r="D185" i="5"/>
  <c r="E185" i="5"/>
  <c r="K185" i="5" s="1"/>
  <c r="L185" i="5" s="1"/>
  <c r="N185" i="5" s="1"/>
  <c r="J185" i="5"/>
  <c r="O185" i="5"/>
  <c r="A186" i="5"/>
  <c r="B186" i="5"/>
  <c r="D186" i="5"/>
  <c r="E186" i="5"/>
  <c r="O186" i="5" s="1"/>
  <c r="J186" i="5"/>
  <c r="A187" i="5"/>
  <c r="B187" i="5"/>
  <c r="D187" i="5"/>
  <c r="E187" i="5"/>
  <c r="K187" i="5" s="1"/>
  <c r="L187" i="5" s="1"/>
  <c r="N187" i="5" s="1"/>
  <c r="J187" i="5"/>
  <c r="A188" i="5"/>
  <c r="B188" i="5"/>
  <c r="D188" i="5"/>
  <c r="E188" i="5"/>
  <c r="K188" i="5" s="1"/>
  <c r="L188" i="5" s="1"/>
  <c r="N188" i="5" s="1"/>
  <c r="J188" i="5"/>
  <c r="A189" i="5"/>
  <c r="B189" i="5"/>
  <c r="D189" i="5"/>
  <c r="E189" i="5"/>
  <c r="O189" i="5" s="1"/>
  <c r="J189" i="5"/>
  <c r="K189" i="5"/>
  <c r="L189" i="5" s="1"/>
  <c r="N189" i="5" s="1"/>
  <c r="A190" i="5"/>
  <c r="B190" i="5"/>
  <c r="D190" i="5"/>
  <c r="J190" i="5"/>
  <c r="K190" i="5"/>
  <c r="L190" i="5" s="1"/>
  <c r="N190" i="5" s="1"/>
  <c r="O190" i="5"/>
  <c r="A191" i="5"/>
  <c r="B191" i="5"/>
  <c r="D191" i="5"/>
  <c r="J191" i="5"/>
  <c r="K191" i="5"/>
  <c r="L191" i="5" s="1"/>
  <c r="N191" i="5" s="1"/>
  <c r="O191" i="5"/>
  <c r="A192" i="5"/>
  <c r="B192" i="5"/>
  <c r="D192" i="5"/>
  <c r="J192" i="5"/>
  <c r="K192" i="5"/>
  <c r="L192" i="5" s="1"/>
  <c r="N192" i="5" s="1"/>
  <c r="O192" i="5"/>
  <c r="A193" i="5"/>
  <c r="B193" i="5"/>
  <c r="D193" i="5"/>
  <c r="J193" i="5"/>
  <c r="K193" i="5"/>
  <c r="L193" i="5" s="1"/>
  <c r="N193" i="5" s="1"/>
  <c r="O193" i="5"/>
  <c r="A194" i="5"/>
  <c r="B194" i="5"/>
  <c r="D194" i="5"/>
  <c r="J194" i="5"/>
  <c r="K194" i="5"/>
  <c r="L194" i="5" s="1"/>
  <c r="N194" i="5" s="1"/>
  <c r="O194" i="5"/>
  <c r="Q194" i="5" s="1"/>
  <c r="R194" i="5" s="1"/>
  <c r="A195" i="5"/>
  <c r="B195" i="5"/>
  <c r="D195" i="5"/>
  <c r="J195" i="5"/>
  <c r="K195" i="5"/>
  <c r="L195" i="5" s="1"/>
  <c r="N195" i="5" s="1"/>
  <c r="O195" i="5"/>
  <c r="A196" i="5"/>
  <c r="B196" i="5"/>
  <c r="D196" i="5"/>
  <c r="J196" i="5"/>
  <c r="K196" i="5"/>
  <c r="L196" i="5" s="1"/>
  <c r="N196" i="5" s="1"/>
  <c r="O196" i="5"/>
  <c r="A197" i="5"/>
  <c r="B197" i="5"/>
  <c r="D197" i="5"/>
  <c r="J197" i="5"/>
  <c r="K197" i="5"/>
  <c r="L197" i="5" s="1"/>
  <c r="N197" i="5" s="1"/>
  <c r="O197" i="5"/>
  <c r="A198" i="5"/>
  <c r="B198" i="5"/>
  <c r="D198" i="5"/>
  <c r="J198" i="5"/>
  <c r="K198" i="5"/>
  <c r="L198" i="5" s="1"/>
  <c r="N198" i="5" s="1"/>
  <c r="O198" i="5"/>
  <c r="A199" i="5"/>
  <c r="B199" i="5"/>
  <c r="D199" i="5"/>
  <c r="J199" i="5"/>
  <c r="K199" i="5"/>
  <c r="L199" i="5" s="1"/>
  <c r="N199" i="5" s="1"/>
  <c r="O199" i="5"/>
  <c r="A200" i="5"/>
  <c r="B200" i="5"/>
  <c r="D200" i="5"/>
  <c r="J200" i="5"/>
  <c r="K200" i="5"/>
  <c r="L200" i="5" s="1"/>
  <c r="N200" i="5" s="1"/>
  <c r="B201" i="5"/>
  <c r="D201" i="5"/>
  <c r="J201" i="5"/>
  <c r="K201" i="5"/>
  <c r="L201" i="5" s="1"/>
  <c r="N201" i="5" s="1"/>
  <c r="O201" i="5"/>
  <c r="A202" i="5"/>
  <c r="B202" i="5"/>
  <c r="D202" i="5"/>
  <c r="J202" i="5"/>
  <c r="K202" i="5"/>
  <c r="L202" i="5" s="1"/>
  <c r="N202" i="5" s="1"/>
  <c r="O202" i="5"/>
  <c r="A203" i="5"/>
  <c r="B203" i="5"/>
  <c r="D203" i="5"/>
  <c r="J203" i="5"/>
  <c r="K203" i="5"/>
  <c r="L203" i="5" s="1"/>
  <c r="N203" i="5" s="1"/>
  <c r="O203" i="5"/>
  <c r="A204" i="5"/>
  <c r="B204" i="5"/>
  <c r="D204" i="5"/>
  <c r="J204" i="5"/>
  <c r="A205" i="5"/>
  <c r="B205" i="5"/>
  <c r="D205" i="5"/>
  <c r="J205" i="5"/>
  <c r="A206" i="5"/>
  <c r="B206" i="5"/>
  <c r="D206" i="5"/>
  <c r="E206" i="5"/>
  <c r="K206" i="5" s="1"/>
  <c r="L206" i="5" s="1"/>
  <c r="N206" i="5" s="1"/>
  <c r="J206" i="5"/>
  <c r="A207" i="5"/>
  <c r="B207" i="5"/>
  <c r="D207" i="5"/>
  <c r="E207" i="5"/>
  <c r="O207" i="5" s="1"/>
  <c r="J207" i="5"/>
  <c r="B208" i="5"/>
  <c r="D208" i="5"/>
  <c r="E208" i="5"/>
  <c r="J208" i="5"/>
  <c r="K208" i="5"/>
  <c r="L208" i="5" s="1"/>
  <c r="N208" i="5" s="1"/>
  <c r="O208" i="5"/>
  <c r="A209" i="5"/>
  <c r="B209" i="5"/>
  <c r="D209" i="5"/>
  <c r="E209" i="5"/>
  <c r="O209" i="5" s="1"/>
  <c r="J209" i="5"/>
  <c r="A210" i="5"/>
  <c r="B210" i="5"/>
  <c r="D210" i="5"/>
  <c r="E210" i="5"/>
  <c r="O210" i="5" s="1"/>
  <c r="J210" i="5"/>
  <c r="K210" i="5"/>
  <c r="L210" i="5" s="1"/>
  <c r="N210" i="5" s="1"/>
  <c r="A211" i="5"/>
  <c r="B211" i="5"/>
  <c r="D211" i="5"/>
  <c r="E211" i="5"/>
  <c r="K211" i="5" s="1"/>
  <c r="L211" i="5" s="1"/>
  <c r="N211" i="5" s="1"/>
  <c r="J211" i="5"/>
  <c r="A212" i="5"/>
  <c r="B212" i="5"/>
  <c r="D212" i="5"/>
  <c r="E212" i="5"/>
  <c r="K212" i="5" s="1"/>
  <c r="L212" i="5" s="1"/>
  <c r="N212" i="5" s="1"/>
  <c r="J212" i="5"/>
  <c r="A213" i="5"/>
  <c r="B213" i="5"/>
  <c r="D213" i="5"/>
  <c r="E213" i="5"/>
  <c r="O213" i="5" s="1"/>
  <c r="J213" i="5"/>
  <c r="K213" i="5"/>
  <c r="L213" i="5" s="1"/>
  <c r="N213" i="5" s="1"/>
  <c r="A214" i="5"/>
  <c r="B214" i="5"/>
  <c r="D214" i="5"/>
  <c r="E214" i="5"/>
  <c r="J214" i="5"/>
  <c r="K214" i="5"/>
  <c r="L214" i="5" s="1"/>
  <c r="N214" i="5" s="1"/>
  <c r="O214" i="5"/>
  <c r="A215" i="5"/>
  <c r="B215" i="5"/>
  <c r="D215" i="5"/>
  <c r="E215" i="5"/>
  <c r="K215" i="5" s="1"/>
  <c r="L215" i="5" s="1"/>
  <c r="N215" i="5" s="1"/>
  <c r="J215" i="5"/>
  <c r="O215" i="5"/>
  <c r="A216" i="5"/>
  <c r="B216" i="5"/>
  <c r="D216" i="5"/>
  <c r="E216" i="5"/>
  <c r="K216" i="5" s="1"/>
  <c r="L216" i="5" s="1"/>
  <c r="N216" i="5" s="1"/>
  <c r="J216" i="5"/>
  <c r="A217" i="5"/>
  <c r="B217" i="5"/>
  <c r="D217" i="5"/>
  <c r="E217" i="5"/>
  <c r="J217" i="5"/>
  <c r="K217" i="5"/>
  <c r="L217" i="5" s="1"/>
  <c r="N217" i="5" s="1"/>
  <c r="O217" i="5"/>
  <c r="A218" i="5"/>
  <c r="B218" i="5"/>
  <c r="D218" i="5"/>
  <c r="E218" i="5"/>
  <c r="J218" i="5"/>
  <c r="K218" i="5"/>
  <c r="L218" i="5" s="1"/>
  <c r="N218" i="5" s="1"/>
  <c r="O218" i="5"/>
  <c r="A219" i="5"/>
  <c r="B219" i="5"/>
  <c r="D219" i="5"/>
  <c r="E219" i="5"/>
  <c r="K219" i="5" s="1"/>
  <c r="L219" i="5" s="1"/>
  <c r="N219" i="5" s="1"/>
  <c r="J219" i="5"/>
  <c r="O219" i="5"/>
  <c r="A220" i="5"/>
  <c r="B220" i="5"/>
  <c r="D220" i="5"/>
  <c r="E220" i="5"/>
  <c r="O220" i="5" s="1"/>
  <c r="Q220" i="5" s="1"/>
  <c r="R220" i="5" s="1"/>
  <c r="J220" i="5"/>
  <c r="B221" i="5"/>
  <c r="D221" i="5"/>
  <c r="E221" i="5"/>
  <c r="J221" i="5"/>
  <c r="K221" i="5"/>
  <c r="L221" i="5" s="1"/>
  <c r="N221" i="5" s="1"/>
  <c r="O221" i="5"/>
  <c r="B222" i="5"/>
  <c r="D222" i="5"/>
  <c r="E222" i="5"/>
  <c r="J222" i="5"/>
  <c r="K222" i="5"/>
  <c r="L222" i="5" s="1"/>
  <c r="N222" i="5" s="1"/>
  <c r="O222" i="5"/>
  <c r="B223" i="5"/>
  <c r="D223" i="5"/>
  <c r="E223" i="5"/>
  <c r="K223" i="5" s="1"/>
  <c r="L223" i="5" s="1"/>
  <c r="N223" i="5" s="1"/>
  <c r="J223" i="5"/>
  <c r="O223" i="5"/>
  <c r="B224" i="5"/>
  <c r="D224" i="5"/>
  <c r="E224" i="5"/>
  <c r="K224" i="5" s="1"/>
  <c r="L224" i="5" s="1"/>
  <c r="N224" i="5" s="1"/>
  <c r="J224" i="5"/>
  <c r="B225" i="5"/>
  <c r="D225" i="5"/>
  <c r="E225" i="5"/>
  <c r="J225" i="5"/>
  <c r="K225" i="5"/>
  <c r="L225" i="5" s="1"/>
  <c r="N225" i="5" s="1"/>
  <c r="O225" i="5"/>
  <c r="B226" i="5"/>
  <c r="D226" i="5"/>
  <c r="E226" i="5"/>
  <c r="J226" i="5"/>
  <c r="K226" i="5"/>
  <c r="L226" i="5" s="1"/>
  <c r="N226" i="5" s="1"/>
  <c r="O226" i="5"/>
  <c r="B227" i="5"/>
  <c r="D227" i="5"/>
  <c r="E227" i="5"/>
  <c r="K227" i="5" s="1"/>
  <c r="L227" i="5" s="1"/>
  <c r="N227" i="5" s="1"/>
  <c r="J227" i="5"/>
  <c r="O227" i="5"/>
  <c r="B228" i="5"/>
  <c r="D228" i="5"/>
  <c r="E228" i="5"/>
  <c r="K228" i="5" s="1"/>
  <c r="L228" i="5" s="1"/>
  <c r="N228" i="5" s="1"/>
  <c r="J228" i="5"/>
  <c r="B229" i="5"/>
  <c r="D229" i="5"/>
  <c r="E229" i="5"/>
  <c r="J229" i="5"/>
  <c r="B230" i="5"/>
  <c r="D230" i="5"/>
  <c r="E230" i="5"/>
  <c r="J230" i="5"/>
  <c r="B231" i="5"/>
  <c r="D231" i="5"/>
  <c r="E231" i="5"/>
  <c r="J231" i="5"/>
  <c r="B232" i="5"/>
  <c r="D232" i="5"/>
  <c r="E232" i="5"/>
  <c r="J232" i="5"/>
  <c r="K232" i="5"/>
  <c r="L232" i="5" s="1"/>
  <c r="N232" i="5" s="1"/>
  <c r="O232" i="5"/>
  <c r="B233" i="5"/>
  <c r="D233" i="5"/>
  <c r="E233" i="5"/>
  <c r="K233" i="5" s="1"/>
  <c r="L233" i="5" s="1"/>
  <c r="N233" i="5" s="1"/>
  <c r="J233" i="5"/>
  <c r="B234" i="5"/>
  <c r="D234" i="5"/>
  <c r="E234" i="5"/>
  <c r="J234" i="5"/>
  <c r="K234" i="5"/>
  <c r="L234" i="5" s="1"/>
  <c r="N234" i="5" s="1"/>
  <c r="O234" i="5"/>
  <c r="B235" i="5"/>
  <c r="D235" i="5"/>
  <c r="E235" i="5"/>
  <c r="J235" i="5"/>
  <c r="B236" i="5"/>
  <c r="D236" i="5"/>
  <c r="E236" i="5"/>
  <c r="K236" i="5" s="1"/>
  <c r="L236" i="5" s="1"/>
  <c r="N236" i="5" s="1"/>
  <c r="J236" i="5"/>
  <c r="B237" i="5"/>
  <c r="D237" i="5"/>
  <c r="E237" i="5"/>
  <c r="J237" i="5"/>
  <c r="B238" i="5"/>
  <c r="D238" i="5"/>
  <c r="E238" i="5"/>
  <c r="K238" i="5" s="1"/>
  <c r="L238" i="5" s="1"/>
  <c r="N238" i="5" s="1"/>
  <c r="J238" i="5"/>
  <c r="O238" i="5"/>
  <c r="B239" i="5"/>
  <c r="D239" i="5"/>
  <c r="E239" i="5"/>
  <c r="J239" i="5"/>
  <c r="B240" i="5"/>
  <c r="D240" i="5"/>
  <c r="E240" i="5"/>
  <c r="K240" i="5" s="1"/>
  <c r="L240" i="5" s="1"/>
  <c r="N240" i="5" s="1"/>
  <c r="J240" i="5"/>
  <c r="O240" i="5"/>
  <c r="B241" i="5"/>
  <c r="D241" i="5"/>
  <c r="E241" i="5"/>
  <c r="K241" i="5" s="1"/>
  <c r="L241" i="5" s="1"/>
  <c r="N241" i="5" s="1"/>
  <c r="J241" i="5"/>
  <c r="B242" i="5"/>
  <c r="D242" i="5"/>
  <c r="E242" i="5"/>
  <c r="K242" i="5" s="1"/>
  <c r="L242" i="5" s="1"/>
  <c r="N242" i="5" s="1"/>
  <c r="J242" i="5"/>
  <c r="O242" i="5"/>
  <c r="Q242" i="5" s="1"/>
  <c r="R242" i="5" s="1"/>
  <c r="B243" i="5"/>
  <c r="D243" i="5"/>
  <c r="E243" i="5"/>
  <c r="J243" i="5"/>
  <c r="B244" i="5"/>
  <c r="D244" i="5"/>
  <c r="E244" i="5"/>
  <c r="K244" i="5" s="1"/>
  <c r="L244" i="5" s="1"/>
  <c r="N244" i="5" s="1"/>
  <c r="J244" i="5"/>
  <c r="B245" i="5"/>
  <c r="D245" i="5"/>
  <c r="E245" i="5"/>
  <c r="J245" i="5"/>
  <c r="B246" i="5"/>
  <c r="D246" i="5"/>
  <c r="E246" i="5"/>
  <c r="K246" i="5" s="1"/>
  <c r="L246" i="5" s="1"/>
  <c r="N246" i="5" s="1"/>
  <c r="J246" i="5"/>
  <c r="B247" i="5"/>
  <c r="D247" i="5"/>
  <c r="E247" i="5"/>
  <c r="J247" i="5"/>
  <c r="K247" i="5"/>
  <c r="L247" i="5" s="1"/>
  <c r="N247" i="5" s="1"/>
  <c r="O247" i="5"/>
  <c r="A248" i="5"/>
  <c r="B248" i="5"/>
  <c r="D248" i="5"/>
  <c r="E248" i="5"/>
  <c r="J248" i="5"/>
  <c r="A249" i="5"/>
  <c r="B249" i="5"/>
  <c r="D249" i="5"/>
  <c r="E249" i="5"/>
  <c r="J249" i="5"/>
  <c r="A250" i="5"/>
  <c r="B250" i="5"/>
  <c r="D250" i="5"/>
  <c r="E250" i="5"/>
  <c r="K250" i="5" s="1"/>
  <c r="L250" i="5" s="1"/>
  <c r="N250" i="5" s="1"/>
  <c r="J250" i="5"/>
  <c r="O250" i="5"/>
  <c r="A251" i="5"/>
  <c r="B251" i="5"/>
  <c r="D251" i="5"/>
  <c r="E251" i="5"/>
  <c r="J251" i="5"/>
  <c r="A252" i="5"/>
  <c r="B252" i="5"/>
  <c r="D252" i="5"/>
  <c r="E252" i="5"/>
  <c r="J252" i="5"/>
  <c r="A253" i="5"/>
  <c r="B253" i="5"/>
  <c r="D253" i="5"/>
  <c r="E253" i="5"/>
  <c r="J253" i="5"/>
  <c r="A254" i="5"/>
  <c r="B254" i="5"/>
  <c r="D254" i="5"/>
  <c r="E254" i="5"/>
  <c r="K254" i="5" s="1"/>
  <c r="L254" i="5" s="1"/>
  <c r="N254" i="5" s="1"/>
  <c r="J254" i="5"/>
  <c r="O254" i="5"/>
  <c r="Q254" i="5" s="1"/>
  <c r="R254" i="5" s="1"/>
  <c r="A255" i="5"/>
  <c r="B255" i="5"/>
  <c r="D255" i="5"/>
  <c r="E255" i="5"/>
  <c r="J255" i="5"/>
  <c r="A256" i="5"/>
  <c r="B256" i="5"/>
  <c r="D256" i="5"/>
  <c r="E256" i="5"/>
  <c r="J256" i="5"/>
  <c r="A257" i="5"/>
  <c r="B257" i="5"/>
  <c r="D257" i="5"/>
  <c r="E257" i="5"/>
  <c r="J257" i="5"/>
  <c r="A258" i="5"/>
  <c r="B258" i="5"/>
  <c r="D258" i="5"/>
  <c r="E258" i="5"/>
  <c r="J258" i="5"/>
  <c r="A259" i="5"/>
  <c r="B259" i="5"/>
  <c r="D259" i="5"/>
  <c r="E259" i="5"/>
  <c r="J259" i="5"/>
  <c r="A260" i="5"/>
  <c r="B260" i="5"/>
  <c r="D260" i="5"/>
  <c r="E260" i="5"/>
  <c r="J260" i="5"/>
  <c r="A261" i="5"/>
  <c r="B261" i="5"/>
  <c r="D261" i="5"/>
  <c r="E261" i="5"/>
  <c r="J261" i="5"/>
  <c r="B262" i="5"/>
  <c r="D262" i="5"/>
  <c r="E262" i="5"/>
  <c r="J262" i="5"/>
  <c r="B263" i="5"/>
  <c r="D263" i="5"/>
  <c r="E263" i="5"/>
  <c r="K263" i="5" s="1"/>
  <c r="L263" i="5" s="1"/>
  <c r="N263" i="5" s="1"/>
  <c r="J263" i="5"/>
  <c r="B264" i="5"/>
  <c r="D264" i="5"/>
  <c r="E264" i="5"/>
  <c r="J264" i="5"/>
  <c r="B265" i="5"/>
  <c r="D265" i="5"/>
  <c r="E265" i="5"/>
  <c r="J265" i="5"/>
  <c r="B266" i="5"/>
  <c r="D266" i="5"/>
  <c r="E266" i="5"/>
  <c r="J266" i="5"/>
  <c r="B267" i="5"/>
  <c r="D267" i="5"/>
  <c r="E267" i="5"/>
  <c r="K267" i="5" s="1"/>
  <c r="L267" i="5" s="1"/>
  <c r="N267" i="5" s="1"/>
  <c r="J267" i="5"/>
  <c r="B268" i="5"/>
  <c r="D268" i="5"/>
  <c r="E268" i="5"/>
  <c r="K268" i="5" s="1"/>
  <c r="L268" i="5" s="1"/>
  <c r="N268" i="5" s="1"/>
  <c r="J268" i="5"/>
  <c r="O268" i="5"/>
  <c r="B269" i="5"/>
  <c r="D269" i="5"/>
  <c r="E269" i="5"/>
  <c r="J269" i="5"/>
  <c r="B270" i="5"/>
  <c r="D270" i="5"/>
  <c r="E270" i="5"/>
  <c r="O270" i="5" s="1"/>
  <c r="Q270" i="5" s="1"/>
  <c r="R270" i="5" s="1"/>
  <c r="J270" i="5"/>
  <c r="K270" i="5"/>
  <c r="L270" i="5" s="1"/>
  <c r="N270" i="5" s="1"/>
  <c r="B271" i="5"/>
  <c r="D271" i="5"/>
  <c r="E271" i="5"/>
  <c r="K271" i="5" s="1"/>
  <c r="L271" i="5" s="1"/>
  <c r="N271" i="5" s="1"/>
  <c r="J271" i="5"/>
  <c r="O271" i="5"/>
  <c r="B272" i="5"/>
  <c r="D272" i="5"/>
  <c r="E272" i="5"/>
  <c r="J272" i="5"/>
  <c r="B273" i="5"/>
  <c r="D273" i="5"/>
  <c r="E273" i="5"/>
  <c r="J273" i="5"/>
  <c r="B274" i="5"/>
  <c r="D274" i="5"/>
  <c r="E274" i="5"/>
  <c r="J274" i="5"/>
  <c r="B275" i="5"/>
  <c r="D275" i="5"/>
  <c r="E275" i="5"/>
  <c r="J275" i="5"/>
  <c r="B276" i="5"/>
  <c r="D276" i="5"/>
  <c r="E276" i="5"/>
  <c r="J276" i="5"/>
  <c r="B277" i="5"/>
  <c r="D277" i="5"/>
  <c r="E277" i="5"/>
  <c r="K277" i="5" s="1"/>
  <c r="L277" i="5" s="1"/>
  <c r="N277" i="5" s="1"/>
  <c r="J277" i="5"/>
  <c r="O277" i="5"/>
  <c r="B278" i="5"/>
  <c r="D278" i="5"/>
  <c r="E278" i="5"/>
  <c r="J278" i="5"/>
  <c r="B279" i="5"/>
  <c r="D279" i="5"/>
  <c r="E279" i="5"/>
  <c r="J279" i="5"/>
  <c r="B280" i="5"/>
  <c r="D280" i="5"/>
  <c r="E280" i="5"/>
  <c r="J280" i="5"/>
  <c r="B281" i="5"/>
  <c r="D281" i="5"/>
  <c r="E281" i="5"/>
  <c r="J281" i="5"/>
  <c r="B282" i="5"/>
  <c r="D282" i="5"/>
  <c r="E282" i="5"/>
  <c r="J282" i="5"/>
  <c r="B283" i="5"/>
  <c r="D283" i="5"/>
  <c r="E283" i="5"/>
  <c r="J283" i="5"/>
  <c r="B284" i="5"/>
  <c r="D284" i="5"/>
  <c r="E284" i="5"/>
  <c r="K284" i="5" s="1"/>
  <c r="L284" i="5" s="1"/>
  <c r="N284" i="5" s="1"/>
  <c r="J284" i="5"/>
  <c r="O284" i="5"/>
  <c r="B285" i="5"/>
  <c r="D285" i="5"/>
  <c r="E285" i="5"/>
  <c r="K285" i="5" s="1"/>
  <c r="L285" i="5" s="1"/>
  <c r="N285" i="5" s="1"/>
  <c r="J285" i="5"/>
  <c r="B286" i="5"/>
  <c r="D286" i="5"/>
  <c r="E286" i="5"/>
  <c r="J286" i="5"/>
  <c r="B287" i="5"/>
  <c r="D287" i="5"/>
  <c r="E287" i="5"/>
  <c r="J287" i="5"/>
  <c r="B288" i="5"/>
  <c r="D288" i="5"/>
  <c r="E288" i="5"/>
  <c r="K288" i="5" s="1"/>
  <c r="L288" i="5" s="1"/>
  <c r="N288" i="5" s="1"/>
  <c r="J288" i="5"/>
  <c r="O288" i="5"/>
  <c r="B289" i="5"/>
  <c r="D289" i="5"/>
  <c r="E289" i="5"/>
  <c r="J289" i="5"/>
  <c r="B290" i="5"/>
  <c r="D290" i="5"/>
  <c r="E290" i="5"/>
  <c r="J290" i="5"/>
  <c r="B291" i="5"/>
  <c r="D291" i="5"/>
  <c r="E291" i="5"/>
  <c r="J291" i="5"/>
  <c r="B292" i="5"/>
  <c r="D292" i="5"/>
  <c r="E292" i="5"/>
  <c r="K292" i="5" s="1"/>
  <c r="L292" i="5" s="1"/>
  <c r="N292" i="5" s="1"/>
  <c r="J292" i="5"/>
  <c r="O292" i="5"/>
  <c r="Q292" i="5" s="1"/>
  <c r="R292" i="5" s="1"/>
  <c r="B293" i="5"/>
  <c r="D293" i="5"/>
  <c r="E293" i="5"/>
  <c r="J293" i="5"/>
  <c r="B294" i="5"/>
  <c r="D294" i="5"/>
  <c r="E294" i="5"/>
  <c r="J294" i="5"/>
  <c r="B295" i="5"/>
  <c r="D295" i="5"/>
  <c r="E295" i="5"/>
  <c r="J295" i="5"/>
  <c r="B296" i="5"/>
  <c r="D296" i="5"/>
  <c r="E296" i="5"/>
  <c r="J296" i="5"/>
  <c r="B297" i="5"/>
  <c r="D297" i="5"/>
  <c r="E297" i="5"/>
  <c r="J297" i="5"/>
  <c r="B298" i="5"/>
  <c r="D298" i="5"/>
  <c r="E298" i="5"/>
  <c r="J298" i="5"/>
  <c r="B299" i="5"/>
  <c r="D299" i="5"/>
  <c r="E299" i="5"/>
  <c r="J299" i="5"/>
  <c r="B300" i="5"/>
  <c r="D300" i="5"/>
  <c r="E300" i="5"/>
  <c r="K300" i="5" s="1"/>
  <c r="L300" i="5" s="1"/>
  <c r="N300" i="5" s="1"/>
  <c r="J300" i="5"/>
  <c r="B301" i="5"/>
  <c r="D301" i="5"/>
  <c r="E301" i="5"/>
  <c r="K301" i="5" s="1"/>
  <c r="L301" i="5" s="1"/>
  <c r="N301" i="5" s="1"/>
  <c r="J301" i="5"/>
  <c r="O301" i="5"/>
  <c r="B302" i="5"/>
  <c r="D302" i="5"/>
  <c r="E302" i="5"/>
  <c r="K302" i="5" s="1"/>
  <c r="L302" i="5" s="1"/>
  <c r="N302" i="5" s="1"/>
  <c r="J302" i="5"/>
  <c r="O302" i="5"/>
  <c r="B303" i="5"/>
  <c r="D303" i="5"/>
  <c r="E303" i="5"/>
  <c r="J303" i="5"/>
  <c r="B304" i="5"/>
  <c r="D304" i="5"/>
  <c r="E304" i="5"/>
  <c r="J304" i="5"/>
  <c r="B305" i="5"/>
  <c r="D305" i="5"/>
  <c r="E305" i="5"/>
  <c r="K305" i="5" s="1"/>
  <c r="L305" i="5" s="1"/>
  <c r="N305" i="5" s="1"/>
  <c r="J305" i="5"/>
  <c r="B306" i="5"/>
  <c r="D306" i="5"/>
  <c r="E306" i="5"/>
  <c r="J306" i="5"/>
  <c r="B307" i="5"/>
  <c r="D307" i="5"/>
  <c r="E307" i="5"/>
  <c r="J307" i="5"/>
  <c r="B308" i="5"/>
  <c r="D308" i="5"/>
  <c r="E308" i="5"/>
  <c r="J308" i="5"/>
  <c r="B309" i="5"/>
  <c r="D309" i="5"/>
  <c r="E309" i="5"/>
  <c r="J309" i="5"/>
  <c r="B310" i="5"/>
  <c r="D310" i="5"/>
  <c r="E310" i="5"/>
  <c r="J310" i="5"/>
  <c r="B311" i="5"/>
  <c r="D311" i="5"/>
  <c r="E311" i="5"/>
  <c r="J311" i="5"/>
  <c r="B312" i="5"/>
  <c r="D312" i="5"/>
  <c r="E312" i="5"/>
  <c r="J312" i="5"/>
  <c r="B313" i="5"/>
  <c r="D313" i="5"/>
  <c r="E313" i="5"/>
  <c r="J313" i="5"/>
  <c r="B314" i="5"/>
  <c r="D314" i="5"/>
  <c r="E314" i="5"/>
  <c r="K314" i="5" s="1"/>
  <c r="L314" i="5" s="1"/>
  <c r="N314" i="5" s="1"/>
  <c r="J314" i="5"/>
  <c r="B315" i="5"/>
  <c r="D315" i="5"/>
  <c r="E315" i="5"/>
  <c r="J315" i="5"/>
  <c r="B316" i="5"/>
  <c r="D316" i="5"/>
  <c r="E316" i="5"/>
  <c r="J316" i="5"/>
  <c r="B317" i="5"/>
  <c r="D317" i="5"/>
  <c r="E317" i="5"/>
  <c r="J317" i="5"/>
  <c r="B318" i="5"/>
  <c r="D318" i="5"/>
  <c r="E318" i="5"/>
  <c r="J318" i="5"/>
  <c r="B319" i="5"/>
  <c r="D319" i="5"/>
  <c r="E319" i="5"/>
  <c r="J319" i="5"/>
  <c r="B320" i="5"/>
  <c r="D320" i="5"/>
  <c r="E320" i="5"/>
  <c r="J320" i="5"/>
  <c r="B321" i="5"/>
  <c r="D321" i="5"/>
  <c r="E321" i="5"/>
  <c r="J321" i="5"/>
  <c r="B322" i="5"/>
  <c r="D322" i="5"/>
  <c r="E322" i="5"/>
  <c r="J322" i="5"/>
  <c r="B323" i="5"/>
  <c r="D323" i="5"/>
  <c r="E323" i="5"/>
  <c r="J323" i="5"/>
  <c r="K323" i="5"/>
  <c r="L323" i="5" s="1"/>
  <c r="N323" i="5" s="1"/>
  <c r="O323" i="5"/>
  <c r="B324" i="5"/>
  <c r="D324" i="5"/>
  <c r="E324" i="5"/>
  <c r="J324" i="5"/>
  <c r="B325" i="5"/>
  <c r="D325" i="5"/>
  <c r="E325" i="5"/>
  <c r="J325" i="5"/>
  <c r="K325" i="5"/>
  <c r="L325" i="5" s="1"/>
  <c r="N325" i="5" s="1"/>
  <c r="O325" i="5"/>
  <c r="B326" i="5"/>
  <c r="D326" i="5"/>
  <c r="E326" i="5"/>
  <c r="J326" i="5"/>
  <c r="B327" i="5"/>
  <c r="D327" i="5"/>
  <c r="E327" i="5"/>
  <c r="J327" i="5"/>
  <c r="K327" i="5"/>
  <c r="L327" i="5" s="1"/>
  <c r="N327" i="5" s="1"/>
  <c r="O327" i="5"/>
  <c r="B328" i="5"/>
  <c r="D328" i="5"/>
  <c r="E328" i="5"/>
  <c r="K328" i="5" s="1"/>
  <c r="L328" i="5" s="1"/>
  <c r="N328" i="5" s="1"/>
  <c r="J328" i="5"/>
  <c r="O328" i="5"/>
  <c r="Q328" i="5" s="1"/>
  <c r="R328" i="5" s="1"/>
  <c r="B329" i="5"/>
  <c r="D329" i="5"/>
  <c r="E329" i="5"/>
  <c r="O329" i="5" s="1"/>
  <c r="J329" i="5"/>
  <c r="B330" i="5"/>
  <c r="D330" i="5"/>
  <c r="E330" i="5"/>
  <c r="J330" i="5"/>
  <c r="B331" i="5"/>
  <c r="D331" i="5"/>
  <c r="E331" i="5"/>
  <c r="K331" i="5" s="1"/>
  <c r="L331" i="5" s="1"/>
  <c r="N331" i="5" s="1"/>
  <c r="J331" i="5"/>
  <c r="O331" i="5"/>
  <c r="B332" i="5"/>
  <c r="D332" i="5"/>
  <c r="E332" i="5"/>
  <c r="J332" i="5"/>
  <c r="B333" i="5"/>
  <c r="D333" i="5"/>
  <c r="E333" i="5"/>
  <c r="O333" i="5" s="1"/>
  <c r="J333" i="5"/>
  <c r="B334" i="5"/>
  <c r="D334" i="5"/>
  <c r="E334" i="5"/>
  <c r="J334" i="5"/>
  <c r="K334" i="5"/>
  <c r="L334" i="5" s="1"/>
  <c r="N334" i="5" s="1"/>
  <c r="O334" i="5"/>
  <c r="B335" i="5"/>
  <c r="D335" i="5"/>
  <c r="E335" i="5"/>
  <c r="J335" i="5"/>
  <c r="B336" i="5"/>
  <c r="D336" i="5"/>
  <c r="E336" i="5"/>
  <c r="J336" i="5"/>
  <c r="K336" i="5"/>
  <c r="L336" i="5" s="1"/>
  <c r="N336" i="5" s="1"/>
  <c r="O336" i="5"/>
  <c r="B337" i="5"/>
  <c r="D337" i="5"/>
  <c r="E337" i="5"/>
  <c r="J337" i="5"/>
  <c r="K337" i="5"/>
  <c r="L337" i="5" s="1"/>
  <c r="N337" i="5" s="1"/>
  <c r="O337" i="5"/>
  <c r="B338" i="5"/>
  <c r="D338" i="5"/>
  <c r="E338" i="5"/>
  <c r="K338" i="5" s="1"/>
  <c r="L338" i="5" s="1"/>
  <c r="N338" i="5" s="1"/>
  <c r="J338" i="5"/>
  <c r="B339" i="5"/>
  <c r="D339" i="5"/>
  <c r="E339" i="5"/>
  <c r="K339" i="5" s="1"/>
  <c r="L339" i="5" s="1"/>
  <c r="N339" i="5" s="1"/>
  <c r="J339" i="5"/>
  <c r="O339" i="5"/>
  <c r="B340" i="5"/>
  <c r="D340" i="5"/>
  <c r="E340" i="5"/>
  <c r="J340" i="5"/>
  <c r="B341" i="5"/>
  <c r="D341" i="5"/>
  <c r="E341" i="5"/>
  <c r="O341" i="5" s="1"/>
  <c r="J341" i="5"/>
  <c r="K341" i="5"/>
  <c r="L341" i="5" s="1"/>
  <c r="N341" i="5" s="1"/>
  <c r="B342" i="5"/>
  <c r="D342" i="5"/>
  <c r="E342" i="5"/>
  <c r="J342" i="5"/>
  <c r="B343" i="5"/>
  <c r="D343" i="5"/>
  <c r="E343" i="5"/>
  <c r="K343" i="5" s="1"/>
  <c r="L343" i="5" s="1"/>
  <c r="N343" i="5" s="1"/>
  <c r="J343" i="5"/>
  <c r="B344" i="5"/>
  <c r="D344" i="5"/>
  <c r="E344" i="5"/>
  <c r="J344" i="5"/>
  <c r="B345" i="5"/>
  <c r="D345" i="5"/>
  <c r="E345" i="5"/>
  <c r="J345" i="5"/>
  <c r="K345" i="5"/>
  <c r="L345" i="5" s="1"/>
  <c r="N345" i="5" s="1"/>
  <c r="O345" i="5"/>
  <c r="B346" i="5"/>
  <c r="D346" i="5"/>
  <c r="E346" i="5"/>
  <c r="K346" i="5" s="1"/>
  <c r="L346" i="5" s="1"/>
  <c r="N346" i="5" s="1"/>
  <c r="J346" i="5"/>
  <c r="B347" i="5"/>
  <c r="D347" i="5"/>
  <c r="E347" i="5"/>
  <c r="K347" i="5" s="1"/>
  <c r="L347" i="5" s="1"/>
  <c r="N347" i="5" s="1"/>
  <c r="J347" i="5"/>
  <c r="B348" i="5"/>
  <c r="D348" i="5"/>
  <c r="E348" i="5"/>
  <c r="J348" i="5"/>
  <c r="B349" i="5"/>
  <c r="D349" i="5"/>
  <c r="E349" i="5"/>
  <c r="J349" i="5"/>
  <c r="K349" i="5"/>
  <c r="L349" i="5" s="1"/>
  <c r="N349" i="5" s="1"/>
  <c r="O349" i="5"/>
  <c r="A98" i="5"/>
  <c r="B98" i="5"/>
  <c r="D98" i="5"/>
  <c r="E98" i="5"/>
  <c r="K98" i="5" s="1"/>
  <c r="L98" i="5" s="1"/>
  <c r="N98" i="5" s="1"/>
  <c r="J98" i="5"/>
  <c r="O98" i="5"/>
  <c r="A99" i="5"/>
  <c r="B99" i="5"/>
  <c r="D99" i="5"/>
  <c r="E99" i="5"/>
  <c r="J99" i="5"/>
  <c r="K99" i="5"/>
  <c r="L99" i="5" s="1"/>
  <c r="N99" i="5" s="1"/>
  <c r="O99" i="5"/>
  <c r="A100" i="5"/>
  <c r="B100" i="5"/>
  <c r="D100" i="5"/>
  <c r="E100" i="5"/>
  <c r="J100" i="5"/>
  <c r="K100" i="5"/>
  <c r="L100" i="5" s="1"/>
  <c r="N100" i="5" s="1"/>
  <c r="O100" i="5"/>
  <c r="A101" i="5"/>
  <c r="B101" i="5"/>
  <c r="D101" i="5"/>
  <c r="E101" i="5"/>
  <c r="J101" i="5"/>
  <c r="K101" i="5"/>
  <c r="L101" i="5" s="1"/>
  <c r="N101" i="5" s="1"/>
  <c r="O101" i="5"/>
  <c r="A102" i="5"/>
  <c r="B102" i="5"/>
  <c r="D102" i="5"/>
  <c r="E102" i="5"/>
  <c r="K102" i="5" s="1"/>
  <c r="L102" i="5" s="1"/>
  <c r="N102" i="5" s="1"/>
  <c r="J102" i="5"/>
  <c r="A103" i="5"/>
  <c r="B103" i="5"/>
  <c r="D103" i="5"/>
  <c r="E103" i="5"/>
  <c r="K103" i="5" s="1"/>
  <c r="L103" i="5" s="1"/>
  <c r="N103" i="5" s="1"/>
  <c r="J103" i="5"/>
  <c r="A104" i="5"/>
  <c r="B104" i="5"/>
  <c r="D104" i="5"/>
  <c r="E104" i="5"/>
  <c r="O104" i="5" s="1"/>
  <c r="J104" i="5"/>
  <c r="K104" i="5"/>
  <c r="L104" i="5" s="1"/>
  <c r="N104" i="5" s="1"/>
  <c r="A105" i="5"/>
  <c r="B105" i="5"/>
  <c r="D105" i="5"/>
  <c r="E105" i="5"/>
  <c r="J105" i="5"/>
  <c r="K105" i="5"/>
  <c r="L105" i="5" s="1"/>
  <c r="N105" i="5" s="1"/>
  <c r="O105" i="5"/>
  <c r="A106" i="5"/>
  <c r="B106" i="5"/>
  <c r="D106" i="5"/>
  <c r="E106" i="5"/>
  <c r="K106" i="5" s="1"/>
  <c r="L106" i="5" s="1"/>
  <c r="N106" i="5" s="1"/>
  <c r="J106" i="5"/>
  <c r="O106" i="5"/>
  <c r="A107" i="5"/>
  <c r="B107" i="5"/>
  <c r="D107" i="5"/>
  <c r="E107" i="5"/>
  <c r="J107" i="5"/>
  <c r="K107" i="5"/>
  <c r="L107" i="5" s="1"/>
  <c r="N107" i="5" s="1"/>
  <c r="O107" i="5"/>
  <c r="A108" i="5"/>
  <c r="B108" i="5"/>
  <c r="D108" i="5"/>
  <c r="E108" i="5"/>
  <c r="J108" i="5"/>
  <c r="K108" i="5"/>
  <c r="L108" i="5" s="1"/>
  <c r="N108" i="5" s="1"/>
  <c r="O108" i="5"/>
  <c r="A109" i="5"/>
  <c r="B109" i="5"/>
  <c r="D109" i="5"/>
  <c r="E109" i="5"/>
  <c r="J109" i="5"/>
  <c r="K109" i="5"/>
  <c r="L109" i="5" s="1"/>
  <c r="N109" i="5" s="1"/>
  <c r="O109" i="5"/>
  <c r="A110" i="5"/>
  <c r="B110" i="5"/>
  <c r="D110" i="5"/>
  <c r="E110" i="5"/>
  <c r="K110" i="5" s="1"/>
  <c r="L110" i="5" s="1"/>
  <c r="N110" i="5" s="1"/>
  <c r="J110" i="5"/>
  <c r="A111" i="5"/>
  <c r="B111" i="5"/>
  <c r="D111" i="5"/>
  <c r="E111" i="5"/>
  <c r="K111" i="5" s="1"/>
  <c r="L111" i="5" s="1"/>
  <c r="N111" i="5" s="1"/>
  <c r="J111" i="5"/>
  <c r="A112" i="5"/>
  <c r="B112" i="5"/>
  <c r="D112" i="5"/>
  <c r="E112" i="5"/>
  <c r="O112" i="5" s="1"/>
  <c r="Q112" i="5" s="1"/>
  <c r="R112" i="5" s="1"/>
  <c r="J112" i="5"/>
  <c r="K112" i="5"/>
  <c r="L112" i="5" s="1"/>
  <c r="N112" i="5" s="1"/>
  <c r="A113" i="5"/>
  <c r="B113" i="5"/>
  <c r="D113" i="5"/>
  <c r="E113" i="5"/>
  <c r="J113" i="5"/>
  <c r="K113" i="5"/>
  <c r="L113" i="5" s="1"/>
  <c r="N113" i="5" s="1"/>
  <c r="O113" i="5"/>
  <c r="A114" i="5"/>
  <c r="B114" i="5"/>
  <c r="D114" i="5"/>
  <c r="E114" i="5"/>
  <c r="K114" i="5" s="1"/>
  <c r="L114" i="5" s="1"/>
  <c r="N114" i="5" s="1"/>
  <c r="J114" i="5"/>
  <c r="O114" i="5"/>
  <c r="A115" i="5"/>
  <c r="B115" i="5"/>
  <c r="D115" i="5"/>
  <c r="E115" i="5"/>
  <c r="J115" i="5"/>
  <c r="K115" i="5"/>
  <c r="L115" i="5" s="1"/>
  <c r="N115" i="5" s="1"/>
  <c r="O115" i="5"/>
  <c r="A116" i="5"/>
  <c r="B116" i="5"/>
  <c r="D116" i="5"/>
  <c r="E116" i="5"/>
  <c r="J116" i="5"/>
  <c r="K116" i="5"/>
  <c r="L116" i="5" s="1"/>
  <c r="N116" i="5" s="1"/>
  <c r="O116" i="5"/>
  <c r="A117" i="5"/>
  <c r="B117" i="5"/>
  <c r="D117" i="5"/>
  <c r="E117" i="5"/>
  <c r="J117" i="5"/>
  <c r="K117" i="5"/>
  <c r="L117" i="5" s="1"/>
  <c r="N117" i="5" s="1"/>
  <c r="O117" i="5"/>
  <c r="A118" i="5"/>
  <c r="B118" i="5"/>
  <c r="D118" i="5"/>
  <c r="E118" i="5"/>
  <c r="K118" i="5" s="1"/>
  <c r="L118" i="5" s="1"/>
  <c r="N118" i="5" s="1"/>
  <c r="J118" i="5"/>
  <c r="A119" i="5"/>
  <c r="B119" i="5"/>
  <c r="D119" i="5"/>
  <c r="E119" i="5"/>
  <c r="K119" i="5" s="1"/>
  <c r="L119" i="5" s="1"/>
  <c r="N119" i="5" s="1"/>
  <c r="J119" i="5"/>
  <c r="A120" i="5"/>
  <c r="B120" i="5"/>
  <c r="D120" i="5"/>
  <c r="E120" i="5"/>
  <c r="O120" i="5" s="1"/>
  <c r="J120" i="5"/>
  <c r="K120" i="5"/>
  <c r="L120" i="5" s="1"/>
  <c r="N120" i="5" s="1"/>
  <c r="A121" i="5"/>
  <c r="B121" i="5"/>
  <c r="D121" i="5"/>
  <c r="E121" i="5"/>
  <c r="O121" i="5" s="1"/>
  <c r="J121" i="5"/>
  <c r="K121" i="5"/>
  <c r="L121" i="5" s="1"/>
  <c r="N121" i="5" s="1"/>
  <c r="A122" i="5"/>
  <c r="B122" i="5"/>
  <c r="D122" i="5"/>
  <c r="E122" i="5"/>
  <c r="O122" i="5" s="1"/>
  <c r="Q122" i="5" s="1"/>
  <c r="R122" i="5" s="1"/>
  <c r="J122" i="5"/>
  <c r="K122" i="5"/>
  <c r="L122" i="5"/>
  <c r="N122" i="5" s="1"/>
  <c r="A123" i="5"/>
  <c r="B123" i="5"/>
  <c r="D123" i="5"/>
  <c r="E123" i="5"/>
  <c r="O123" i="5" s="1"/>
  <c r="J123" i="5"/>
  <c r="K123" i="5"/>
  <c r="L123" i="5"/>
  <c r="N123" i="5" s="1"/>
  <c r="A124" i="5"/>
  <c r="B124" i="5"/>
  <c r="D124" i="5"/>
  <c r="E124" i="5"/>
  <c r="J124" i="5"/>
  <c r="K124" i="5"/>
  <c r="L124" i="5" s="1"/>
  <c r="N124" i="5" s="1"/>
  <c r="O124" i="5"/>
  <c r="Q124" i="5" s="1"/>
  <c r="R124" i="5" s="1"/>
  <c r="A125" i="5"/>
  <c r="B125" i="5"/>
  <c r="D125" i="5"/>
  <c r="E125" i="5"/>
  <c r="K125" i="5" s="1"/>
  <c r="L125" i="5" s="1"/>
  <c r="N125" i="5" s="1"/>
  <c r="J125" i="5"/>
  <c r="O125" i="5"/>
  <c r="A126" i="5"/>
  <c r="B126" i="5"/>
  <c r="D126" i="5"/>
  <c r="E126" i="5"/>
  <c r="K126" i="5" s="1"/>
  <c r="L126" i="5" s="1"/>
  <c r="N126" i="5" s="1"/>
  <c r="J126" i="5"/>
  <c r="O126" i="5"/>
  <c r="A127" i="5"/>
  <c r="B127" i="5"/>
  <c r="D127" i="5"/>
  <c r="J127" i="5"/>
  <c r="A128" i="5"/>
  <c r="B128" i="5"/>
  <c r="D128" i="5"/>
  <c r="E128" i="5"/>
  <c r="O128" i="5" s="1"/>
  <c r="J128" i="5"/>
  <c r="K128" i="5"/>
  <c r="L128" i="5" s="1"/>
  <c r="N128" i="5" s="1"/>
  <c r="B129" i="5"/>
  <c r="D129" i="5"/>
  <c r="E129" i="5"/>
  <c r="J129" i="5"/>
  <c r="K129" i="5"/>
  <c r="L129" i="5" s="1"/>
  <c r="N129" i="5" s="1"/>
  <c r="O129" i="5"/>
  <c r="A130" i="5"/>
  <c r="B130" i="5"/>
  <c r="D130" i="5"/>
  <c r="E130" i="5"/>
  <c r="J130" i="5"/>
  <c r="K130" i="5"/>
  <c r="L130" i="5" s="1"/>
  <c r="N130" i="5" s="1"/>
  <c r="O130" i="5"/>
  <c r="A131" i="5"/>
  <c r="B131" i="5"/>
  <c r="E131" i="5"/>
  <c r="O131" i="5" s="1"/>
  <c r="J131" i="5"/>
  <c r="A132" i="5"/>
  <c r="B132" i="5"/>
  <c r="D132" i="5"/>
  <c r="E132" i="5"/>
  <c r="J132" i="5"/>
  <c r="A133" i="5"/>
  <c r="B133" i="5"/>
  <c r="D133" i="5"/>
  <c r="E133" i="5"/>
  <c r="O133" i="5" s="1"/>
  <c r="J133" i="5"/>
  <c r="K133" i="5"/>
  <c r="L133" i="5" s="1"/>
  <c r="N133" i="5" s="1"/>
  <c r="A134" i="5"/>
  <c r="D134" i="5"/>
  <c r="E134" i="5"/>
  <c r="J134" i="5"/>
  <c r="K134" i="5"/>
  <c r="L134" i="5" s="1"/>
  <c r="N134" i="5" s="1"/>
  <c r="O134" i="5"/>
  <c r="A135" i="5"/>
  <c r="B135" i="5"/>
  <c r="D135" i="5"/>
  <c r="J135" i="5"/>
  <c r="K135" i="5"/>
  <c r="L135" i="5" s="1"/>
  <c r="N135" i="5" s="1"/>
  <c r="O135" i="5"/>
  <c r="A136" i="5"/>
  <c r="B136" i="5"/>
  <c r="D136" i="5"/>
  <c r="E136" i="5"/>
  <c r="K136" i="5" s="1"/>
  <c r="L136" i="5" s="1"/>
  <c r="N136" i="5" s="1"/>
  <c r="J136" i="5"/>
  <c r="A137" i="5"/>
  <c r="D137" i="5"/>
  <c r="E137" i="5"/>
  <c r="J137" i="5"/>
  <c r="K137" i="5"/>
  <c r="L137" i="5" s="1"/>
  <c r="N137" i="5" s="1"/>
  <c r="O137" i="5"/>
  <c r="A138" i="5"/>
  <c r="B138" i="5"/>
  <c r="D138" i="5"/>
  <c r="E138" i="5"/>
  <c r="K138" i="5" s="1"/>
  <c r="L138" i="5" s="1"/>
  <c r="N138" i="5" s="1"/>
  <c r="J138" i="5"/>
  <c r="O138" i="5"/>
  <c r="A139" i="5"/>
  <c r="B139" i="5"/>
  <c r="D139" i="5"/>
  <c r="E139" i="5"/>
  <c r="J139" i="5"/>
  <c r="K139" i="5"/>
  <c r="L139" i="5" s="1"/>
  <c r="N139" i="5" s="1"/>
  <c r="O139" i="5"/>
  <c r="A140" i="5"/>
  <c r="B140" i="5"/>
  <c r="D140" i="5"/>
  <c r="E140" i="5"/>
  <c r="K140" i="5" s="1"/>
  <c r="L140" i="5" s="1"/>
  <c r="N140" i="5" s="1"/>
  <c r="J140" i="5"/>
  <c r="O140" i="5"/>
  <c r="Q140" i="5" s="1"/>
  <c r="R140" i="5" s="1"/>
  <c r="A141" i="5"/>
  <c r="B141" i="5"/>
  <c r="D141" i="5"/>
  <c r="E141" i="5"/>
  <c r="K141" i="5" s="1"/>
  <c r="L141" i="5" s="1"/>
  <c r="N141" i="5" s="1"/>
  <c r="J141" i="5"/>
  <c r="D46" i="5"/>
  <c r="D47" i="5"/>
  <c r="D26" i="5"/>
  <c r="Q362" i="5"/>
  <c r="R362" i="5" s="1"/>
  <c r="S362" i="5" s="1"/>
  <c r="Q363" i="5"/>
  <c r="R363" i="5" s="1"/>
  <c r="S363" i="5" s="1"/>
  <c r="Q364" i="5"/>
  <c r="Q365" i="5"/>
  <c r="Q366" i="5"/>
  <c r="Q367" i="5"/>
  <c r="R367" i="5" s="1"/>
  <c r="S367" i="5" s="1"/>
  <c r="Q368" i="5"/>
  <c r="Q369" i="5"/>
  <c r="Q370" i="5"/>
  <c r="Q371" i="5"/>
  <c r="Q372" i="5"/>
  <c r="R372" i="5" s="1"/>
  <c r="S372" i="5" s="1"/>
  <c r="Q373" i="5"/>
  <c r="R373" i="5" s="1"/>
  <c r="S373" i="5" s="1"/>
  <c r="Q374" i="5"/>
  <c r="R374" i="5" s="1"/>
  <c r="S374" i="5" s="1"/>
  <c r="Q375" i="5"/>
  <c r="R375" i="5" s="1"/>
  <c r="S375" i="5" s="1"/>
  <c r="Q376" i="5"/>
  <c r="Q377" i="5"/>
  <c r="Q378" i="5"/>
  <c r="R378" i="5" s="1"/>
  <c r="S378" i="5" s="1"/>
  <c r="Q379" i="5"/>
  <c r="R379" i="5" s="1"/>
  <c r="S379" i="5" s="1"/>
  <c r="R364" i="5"/>
  <c r="S364" i="5" s="1"/>
  <c r="R365" i="5"/>
  <c r="S365" i="5" s="1"/>
  <c r="R366" i="5"/>
  <c r="S366" i="5" s="1"/>
  <c r="R368" i="5"/>
  <c r="S368" i="5" s="1"/>
  <c r="R369" i="5"/>
  <c r="R370" i="5"/>
  <c r="S370" i="5" s="1"/>
  <c r="R371" i="5"/>
  <c r="S371" i="5" s="1"/>
  <c r="R376" i="5"/>
  <c r="S376" i="5" s="1"/>
  <c r="R377" i="5"/>
  <c r="S377" i="5" s="1"/>
  <c r="S369" i="5"/>
  <c r="V362" i="5"/>
  <c r="V363" i="5"/>
  <c r="T363" i="5" s="1"/>
  <c r="V364" i="5"/>
  <c r="T364" i="5" s="1"/>
  <c r="V365" i="5"/>
  <c r="T365" i="5" s="1"/>
  <c r="V366" i="5"/>
  <c r="T366" i="5" s="1"/>
  <c r="V367" i="5"/>
  <c r="T367" i="5" s="1"/>
  <c r="V368" i="5"/>
  <c r="T368" i="5" s="1"/>
  <c r="V369" i="5"/>
  <c r="T369" i="5" s="1"/>
  <c r="V370" i="5"/>
  <c r="T370" i="5" s="1"/>
  <c r="V371" i="5"/>
  <c r="T371" i="5" s="1"/>
  <c r="V372" i="5"/>
  <c r="T372" i="5" s="1"/>
  <c r="V373" i="5"/>
  <c r="T373" i="5" s="1"/>
  <c r="V374" i="5"/>
  <c r="T374" i="5" s="1"/>
  <c r="V375" i="5"/>
  <c r="T375" i="5" s="1"/>
  <c r="V376" i="5"/>
  <c r="T376" i="5" s="1"/>
  <c r="V377" i="5"/>
  <c r="T377" i="5" s="1"/>
  <c r="V378" i="5"/>
  <c r="T378" i="5" s="1"/>
  <c r="V379" i="5"/>
  <c r="T379" i="5" s="1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Q351" i="5"/>
  <c r="Q352" i="5"/>
  <c r="Q353" i="5"/>
  <c r="R353" i="5" s="1"/>
  <c r="S353" i="5" s="1"/>
  <c r="Q354" i="5"/>
  <c r="R354" i="5" s="1"/>
  <c r="S354" i="5" s="1"/>
  <c r="Q355" i="5"/>
  <c r="Q356" i="5"/>
  <c r="Q357" i="5"/>
  <c r="Q358" i="5"/>
  <c r="R358" i="5" s="1"/>
  <c r="S358" i="5" s="1"/>
  <c r="Q359" i="5"/>
  <c r="R359" i="5" s="1"/>
  <c r="S359" i="5" s="1"/>
  <c r="Q360" i="5"/>
  <c r="R360" i="5" s="1"/>
  <c r="S360" i="5" s="1"/>
  <c r="Q361" i="5"/>
  <c r="R361" i="5" s="1"/>
  <c r="S361" i="5" s="1"/>
  <c r="R351" i="5"/>
  <c r="S351" i="5" s="1"/>
  <c r="R352" i="5"/>
  <c r="R355" i="5"/>
  <c r="R356" i="5"/>
  <c r="S356" i="5" s="1"/>
  <c r="R357" i="5"/>
  <c r="S357" i="5" s="1"/>
  <c r="S352" i="5"/>
  <c r="S355" i="5"/>
  <c r="V351" i="5"/>
  <c r="V352" i="5"/>
  <c r="V353" i="5"/>
  <c r="V354" i="5"/>
  <c r="V355" i="5"/>
  <c r="V356" i="5"/>
  <c r="V357" i="5"/>
  <c r="V358" i="5"/>
  <c r="V359" i="5"/>
  <c r="V360" i="5"/>
  <c r="V361" i="5"/>
  <c r="W351" i="5"/>
  <c r="W352" i="5"/>
  <c r="W353" i="5"/>
  <c r="W354" i="5"/>
  <c r="W355" i="5"/>
  <c r="W356" i="5"/>
  <c r="W357" i="5"/>
  <c r="W358" i="5"/>
  <c r="W359" i="5"/>
  <c r="W360" i="5"/>
  <c r="W361" i="5"/>
  <c r="X351" i="5"/>
  <c r="X352" i="5"/>
  <c r="X353" i="5"/>
  <c r="X354" i="5"/>
  <c r="X355" i="5"/>
  <c r="X356" i="5"/>
  <c r="X357" i="5"/>
  <c r="X358" i="5"/>
  <c r="X359" i="5"/>
  <c r="X360" i="5"/>
  <c r="X361" i="5"/>
  <c r="Y351" i="5"/>
  <c r="Y352" i="5"/>
  <c r="Y353" i="5"/>
  <c r="Y354" i="5"/>
  <c r="Y355" i="5"/>
  <c r="Y356" i="5"/>
  <c r="Y357" i="5"/>
  <c r="Y358" i="5"/>
  <c r="Y359" i="5"/>
  <c r="Y360" i="5"/>
  <c r="Y361" i="5"/>
  <c r="Z351" i="5"/>
  <c r="Z352" i="5"/>
  <c r="Z353" i="5"/>
  <c r="Z354" i="5"/>
  <c r="Z355" i="5"/>
  <c r="Z356" i="5"/>
  <c r="Z357" i="5"/>
  <c r="Z358" i="5"/>
  <c r="Z359" i="5"/>
  <c r="Z360" i="5"/>
  <c r="Z361" i="5"/>
  <c r="D81" i="5"/>
  <c r="D88" i="5"/>
  <c r="D82" i="5"/>
  <c r="D77" i="5"/>
  <c r="E77" i="5"/>
  <c r="K77" i="5" s="1"/>
  <c r="D73" i="5"/>
  <c r="D74" i="5"/>
  <c r="E73" i="5"/>
  <c r="B72" i="5"/>
  <c r="B60" i="5"/>
  <c r="D38" i="5"/>
  <c r="J18" i="5"/>
  <c r="B15" i="5"/>
  <c r="E7" i="5"/>
  <c r="K7" i="5" s="1"/>
  <c r="L7" i="5" s="1"/>
  <c r="B3" i="5"/>
  <c r="B4" i="5"/>
  <c r="B5" i="5"/>
  <c r="B6" i="5"/>
  <c r="B7" i="5"/>
  <c r="D3" i="5"/>
  <c r="D4" i="5"/>
  <c r="D5" i="5"/>
  <c r="D6" i="5"/>
  <c r="D7" i="5"/>
  <c r="D8" i="5"/>
  <c r="D2" i="5"/>
  <c r="E8" i="5"/>
  <c r="K8" i="5" s="1"/>
  <c r="L8" i="5" s="1"/>
  <c r="E4" i="5"/>
  <c r="K4" i="5" s="1"/>
  <c r="K5" i="5"/>
  <c r="K6" i="5"/>
  <c r="E9" i="5"/>
  <c r="K9" i="5" s="1"/>
  <c r="E10" i="5"/>
  <c r="K10" i="5" s="1"/>
  <c r="E11" i="5"/>
  <c r="K11" i="5" s="1"/>
  <c r="E12" i="5"/>
  <c r="K12" i="5" s="1"/>
  <c r="E13" i="5"/>
  <c r="K13" i="5" s="1"/>
  <c r="E14" i="5"/>
  <c r="K14" i="5" s="1"/>
  <c r="E15" i="5"/>
  <c r="O15" i="5" s="1"/>
  <c r="Q15" i="5" s="1"/>
  <c r="R15" i="5" s="1"/>
  <c r="E16" i="5"/>
  <c r="K16" i="5" s="1"/>
  <c r="E17" i="5"/>
  <c r="E18" i="5"/>
  <c r="K18" i="5" s="1"/>
  <c r="L18" i="5" s="1"/>
  <c r="K19" i="5"/>
  <c r="E20" i="5"/>
  <c r="K20" i="5" s="1"/>
  <c r="L20" i="5" s="1"/>
  <c r="O19" i="5"/>
  <c r="Q19" i="5" s="1"/>
  <c r="R19" i="5" s="1"/>
  <c r="E21" i="5"/>
  <c r="K21" i="5" s="1"/>
  <c r="E22" i="5"/>
  <c r="K22" i="5" s="1"/>
  <c r="E23" i="5"/>
  <c r="K23" i="5" s="1"/>
  <c r="E24" i="5"/>
  <c r="K24" i="5" s="1"/>
  <c r="E25" i="5"/>
  <c r="K25" i="5" s="1"/>
  <c r="E26" i="5"/>
  <c r="K26" i="5" s="1"/>
  <c r="E27" i="5"/>
  <c r="K27" i="5" s="1"/>
  <c r="E28" i="5"/>
  <c r="K28" i="5" s="1"/>
  <c r="E29" i="5"/>
  <c r="K29" i="5" s="1"/>
  <c r="E30" i="5"/>
  <c r="K30" i="5" s="1"/>
  <c r="E31" i="5"/>
  <c r="K31" i="5" s="1"/>
  <c r="E32" i="5"/>
  <c r="K32" i="5" s="1"/>
  <c r="E33" i="5"/>
  <c r="K33" i="5" s="1"/>
  <c r="L33" i="5" s="1"/>
  <c r="E34" i="5"/>
  <c r="E35" i="5"/>
  <c r="E36" i="5"/>
  <c r="E37" i="5"/>
  <c r="K37" i="5" s="1"/>
  <c r="E38" i="5"/>
  <c r="K38" i="5" s="1"/>
  <c r="E39" i="5"/>
  <c r="O39" i="5" s="1"/>
  <c r="Q39" i="5" s="1"/>
  <c r="R39" i="5" s="1"/>
  <c r="C2" i="5"/>
  <c r="E2" i="5"/>
  <c r="O2" i="5" s="1"/>
  <c r="Q2" i="5" s="1"/>
  <c r="R2" i="5" s="1"/>
  <c r="E3" i="5"/>
  <c r="O3" i="5" s="1"/>
  <c r="Q3" i="5" s="1"/>
  <c r="R3" i="5" s="1"/>
  <c r="E40" i="5"/>
  <c r="O40" i="5" s="1"/>
  <c r="Q40" i="5" s="1"/>
  <c r="R40" i="5" s="1"/>
  <c r="E41" i="5"/>
  <c r="E42" i="5"/>
  <c r="K42" i="5" s="1"/>
  <c r="E43" i="5"/>
  <c r="K43" i="5" s="1"/>
  <c r="E44" i="5"/>
  <c r="K44" i="5" s="1"/>
  <c r="E45" i="5"/>
  <c r="E46" i="5"/>
  <c r="K46" i="5" s="1"/>
  <c r="E47" i="5"/>
  <c r="K47" i="5" s="1"/>
  <c r="E48" i="5"/>
  <c r="K48" i="5" s="1"/>
  <c r="E49" i="5"/>
  <c r="K49" i="5" s="1"/>
  <c r="E50" i="5"/>
  <c r="O50" i="5" s="1"/>
  <c r="Q50" i="5" s="1"/>
  <c r="R50" i="5" s="1"/>
  <c r="E51" i="5"/>
  <c r="K51" i="5" s="1"/>
  <c r="E52" i="5"/>
  <c r="K52" i="5" s="1"/>
  <c r="E53" i="5"/>
  <c r="E54" i="5"/>
  <c r="O54" i="5" s="1"/>
  <c r="E55" i="5"/>
  <c r="K55" i="5" s="1"/>
  <c r="E56" i="5"/>
  <c r="K56" i="5" s="1"/>
  <c r="E57" i="5"/>
  <c r="E58" i="5"/>
  <c r="K58" i="5" s="1"/>
  <c r="E59" i="5"/>
  <c r="K59" i="5" s="1"/>
  <c r="E60" i="5"/>
  <c r="K60" i="5" s="1"/>
  <c r="E61" i="5"/>
  <c r="K61" i="5" s="1"/>
  <c r="E62" i="5"/>
  <c r="E63" i="5"/>
  <c r="K63" i="5" s="1"/>
  <c r="E64" i="5"/>
  <c r="K64" i="5" s="1"/>
  <c r="E65" i="5"/>
  <c r="K65" i="5" s="1"/>
  <c r="E66" i="5"/>
  <c r="K66" i="5" s="1"/>
  <c r="E67" i="5"/>
  <c r="K67" i="5" s="1"/>
  <c r="E68" i="5"/>
  <c r="K68" i="5" s="1"/>
  <c r="E69" i="5"/>
  <c r="E70" i="5"/>
  <c r="E71" i="5"/>
  <c r="E72" i="5"/>
  <c r="E74" i="5"/>
  <c r="O74" i="5" s="1"/>
  <c r="Q74" i="5" s="1"/>
  <c r="R74" i="5" s="1"/>
  <c r="E75" i="5"/>
  <c r="E76" i="5"/>
  <c r="O76" i="5" s="1"/>
  <c r="Q76" i="5" s="1"/>
  <c r="R76" i="5" s="1"/>
  <c r="E78" i="5"/>
  <c r="K78" i="5" s="1"/>
  <c r="E79" i="5"/>
  <c r="K79" i="5" s="1"/>
  <c r="E80" i="5"/>
  <c r="K80" i="5" s="1"/>
  <c r="E81" i="5"/>
  <c r="K81" i="5" s="1"/>
  <c r="E82" i="5"/>
  <c r="K82" i="5" s="1"/>
  <c r="E83" i="5"/>
  <c r="E84" i="5"/>
  <c r="E85" i="5"/>
  <c r="E86" i="5"/>
  <c r="O86" i="5" s="1"/>
  <c r="Q86" i="5" s="1"/>
  <c r="R86" i="5" s="1"/>
  <c r="E87" i="5"/>
  <c r="K87" i="5" s="1"/>
  <c r="E88" i="5"/>
  <c r="K88" i="5" s="1"/>
  <c r="E89" i="5"/>
  <c r="K89" i="5" s="1"/>
  <c r="E90" i="5"/>
  <c r="K90" i="5" s="1"/>
  <c r="E91" i="5"/>
  <c r="K91" i="5" s="1"/>
  <c r="E92" i="5"/>
  <c r="K92" i="5" s="1"/>
  <c r="E93" i="5"/>
  <c r="E94" i="5"/>
  <c r="K94" i="5" s="1"/>
  <c r="E95" i="5"/>
  <c r="K95" i="5" s="1"/>
  <c r="E96" i="5"/>
  <c r="E97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2" i="5"/>
  <c r="Z2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V3" i="5"/>
  <c r="W3" i="5"/>
  <c r="Y3" i="5"/>
  <c r="V4" i="5"/>
  <c r="W4" i="5"/>
  <c r="Y4" i="5"/>
  <c r="V5" i="5"/>
  <c r="W5" i="5"/>
  <c r="Y5" i="5"/>
  <c r="V6" i="5"/>
  <c r="W6" i="5"/>
  <c r="Y6" i="5"/>
  <c r="V7" i="5"/>
  <c r="W7" i="5"/>
  <c r="Y7" i="5"/>
  <c r="V8" i="5"/>
  <c r="W8" i="5"/>
  <c r="Y8" i="5"/>
  <c r="V9" i="5"/>
  <c r="W9" i="5"/>
  <c r="Y9" i="5"/>
  <c r="V10" i="5"/>
  <c r="W10" i="5"/>
  <c r="Y10" i="5"/>
  <c r="V11" i="5"/>
  <c r="W11" i="5"/>
  <c r="Y11" i="5"/>
  <c r="V12" i="5"/>
  <c r="W12" i="5"/>
  <c r="Y12" i="5"/>
  <c r="V13" i="5"/>
  <c r="W13" i="5"/>
  <c r="Y13" i="5"/>
  <c r="V14" i="5"/>
  <c r="W14" i="5"/>
  <c r="Y14" i="5"/>
  <c r="V15" i="5"/>
  <c r="W15" i="5"/>
  <c r="Y15" i="5"/>
  <c r="V16" i="5"/>
  <c r="W16" i="5"/>
  <c r="Y16" i="5"/>
  <c r="V17" i="5"/>
  <c r="W17" i="5"/>
  <c r="Y17" i="5"/>
  <c r="V18" i="5"/>
  <c r="W18" i="5"/>
  <c r="Y18" i="5"/>
  <c r="V19" i="5"/>
  <c r="W19" i="5"/>
  <c r="Y19" i="5"/>
  <c r="V20" i="5"/>
  <c r="W20" i="5"/>
  <c r="Y20" i="5"/>
  <c r="V21" i="5"/>
  <c r="W21" i="5"/>
  <c r="Y21" i="5"/>
  <c r="V22" i="5"/>
  <c r="W22" i="5"/>
  <c r="Y22" i="5"/>
  <c r="V23" i="5"/>
  <c r="W23" i="5"/>
  <c r="Y23" i="5"/>
  <c r="V24" i="5"/>
  <c r="W24" i="5"/>
  <c r="Y24" i="5"/>
  <c r="V25" i="5"/>
  <c r="W25" i="5"/>
  <c r="Y25" i="5"/>
  <c r="V26" i="5"/>
  <c r="W26" i="5"/>
  <c r="Y26" i="5"/>
  <c r="V27" i="5"/>
  <c r="W27" i="5"/>
  <c r="Y27" i="5"/>
  <c r="V28" i="5"/>
  <c r="W28" i="5"/>
  <c r="Y28" i="5"/>
  <c r="V29" i="5"/>
  <c r="W29" i="5"/>
  <c r="Y29" i="5"/>
  <c r="V30" i="5"/>
  <c r="W30" i="5"/>
  <c r="Y30" i="5"/>
  <c r="V31" i="5"/>
  <c r="W31" i="5"/>
  <c r="Y31" i="5"/>
  <c r="V32" i="5"/>
  <c r="W32" i="5"/>
  <c r="Y32" i="5"/>
  <c r="V33" i="5"/>
  <c r="W33" i="5"/>
  <c r="Y33" i="5"/>
  <c r="V34" i="5"/>
  <c r="W34" i="5"/>
  <c r="Y34" i="5"/>
  <c r="V35" i="5"/>
  <c r="W35" i="5"/>
  <c r="Y35" i="5"/>
  <c r="V36" i="5"/>
  <c r="W36" i="5"/>
  <c r="Y36" i="5"/>
  <c r="V37" i="5"/>
  <c r="W37" i="5"/>
  <c r="Y37" i="5"/>
  <c r="V38" i="5"/>
  <c r="W38" i="5"/>
  <c r="Y38" i="5"/>
  <c r="V39" i="5"/>
  <c r="W39" i="5"/>
  <c r="Y39" i="5"/>
  <c r="V40" i="5"/>
  <c r="W40" i="5"/>
  <c r="Y40" i="5"/>
  <c r="V41" i="5"/>
  <c r="W41" i="5"/>
  <c r="Y41" i="5"/>
  <c r="V42" i="5"/>
  <c r="W42" i="5"/>
  <c r="Y42" i="5"/>
  <c r="V43" i="5"/>
  <c r="W43" i="5"/>
  <c r="Y43" i="5"/>
  <c r="V44" i="5"/>
  <c r="W44" i="5"/>
  <c r="Y44" i="5"/>
  <c r="V45" i="5"/>
  <c r="W45" i="5"/>
  <c r="Y45" i="5"/>
  <c r="V46" i="5"/>
  <c r="W46" i="5"/>
  <c r="Y46" i="5"/>
  <c r="V47" i="5"/>
  <c r="W47" i="5"/>
  <c r="Y47" i="5"/>
  <c r="V48" i="5"/>
  <c r="W48" i="5"/>
  <c r="Y48" i="5"/>
  <c r="V49" i="5"/>
  <c r="W49" i="5"/>
  <c r="Y49" i="5"/>
  <c r="V50" i="5"/>
  <c r="W50" i="5"/>
  <c r="Y50" i="5"/>
  <c r="V51" i="5"/>
  <c r="W51" i="5"/>
  <c r="Y51" i="5"/>
  <c r="V52" i="5"/>
  <c r="W52" i="5"/>
  <c r="Y52" i="5"/>
  <c r="V53" i="5"/>
  <c r="W53" i="5"/>
  <c r="Y53" i="5"/>
  <c r="V54" i="5"/>
  <c r="W54" i="5"/>
  <c r="Y54" i="5"/>
  <c r="V55" i="5"/>
  <c r="W55" i="5"/>
  <c r="Y55" i="5"/>
  <c r="V56" i="5"/>
  <c r="W56" i="5"/>
  <c r="Y56" i="5"/>
  <c r="V57" i="5"/>
  <c r="W57" i="5"/>
  <c r="Y57" i="5"/>
  <c r="V58" i="5"/>
  <c r="W58" i="5"/>
  <c r="Y58" i="5"/>
  <c r="V59" i="5"/>
  <c r="W59" i="5"/>
  <c r="Y59" i="5"/>
  <c r="V60" i="5"/>
  <c r="W60" i="5"/>
  <c r="Y60" i="5"/>
  <c r="V61" i="5"/>
  <c r="W61" i="5"/>
  <c r="Y61" i="5"/>
  <c r="V62" i="5"/>
  <c r="W62" i="5"/>
  <c r="Y62" i="5"/>
  <c r="V63" i="5"/>
  <c r="W63" i="5"/>
  <c r="Y63" i="5"/>
  <c r="V64" i="5"/>
  <c r="W64" i="5"/>
  <c r="Y64" i="5"/>
  <c r="V65" i="5"/>
  <c r="W65" i="5"/>
  <c r="Y65" i="5"/>
  <c r="V66" i="5"/>
  <c r="W66" i="5"/>
  <c r="Y66" i="5"/>
  <c r="V67" i="5"/>
  <c r="W67" i="5"/>
  <c r="Y67" i="5"/>
  <c r="V68" i="5"/>
  <c r="W68" i="5"/>
  <c r="Y68" i="5"/>
  <c r="V69" i="5"/>
  <c r="W69" i="5"/>
  <c r="Y69" i="5"/>
  <c r="V70" i="5"/>
  <c r="W70" i="5"/>
  <c r="Y70" i="5"/>
  <c r="V71" i="5"/>
  <c r="W71" i="5"/>
  <c r="Y71" i="5"/>
  <c r="V72" i="5"/>
  <c r="W72" i="5"/>
  <c r="Y72" i="5"/>
  <c r="V73" i="5"/>
  <c r="W73" i="5"/>
  <c r="Y73" i="5"/>
  <c r="V74" i="5"/>
  <c r="W74" i="5"/>
  <c r="Y74" i="5"/>
  <c r="V75" i="5"/>
  <c r="W75" i="5"/>
  <c r="Y75" i="5"/>
  <c r="V76" i="5"/>
  <c r="W76" i="5"/>
  <c r="Y76" i="5"/>
  <c r="V77" i="5"/>
  <c r="W77" i="5"/>
  <c r="Y77" i="5"/>
  <c r="V78" i="5"/>
  <c r="W78" i="5"/>
  <c r="Y78" i="5"/>
  <c r="V79" i="5"/>
  <c r="W79" i="5"/>
  <c r="Y79" i="5"/>
  <c r="V80" i="5"/>
  <c r="W80" i="5"/>
  <c r="Y80" i="5"/>
  <c r="V81" i="5"/>
  <c r="W81" i="5"/>
  <c r="Y81" i="5"/>
  <c r="V82" i="5"/>
  <c r="W82" i="5"/>
  <c r="Y82" i="5"/>
  <c r="V83" i="5"/>
  <c r="W83" i="5"/>
  <c r="Y83" i="5"/>
  <c r="V84" i="5"/>
  <c r="W84" i="5"/>
  <c r="Y84" i="5"/>
  <c r="V85" i="5"/>
  <c r="W85" i="5"/>
  <c r="Y85" i="5"/>
  <c r="V86" i="5"/>
  <c r="W86" i="5"/>
  <c r="Y86" i="5"/>
  <c r="V87" i="5"/>
  <c r="W87" i="5"/>
  <c r="Y87" i="5"/>
  <c r="V88" i="5"/>
  <c r="W88" i="5"/>
  <c r="Y88" i="5"/>
  <c r="V89" i="5"/>
  <c r="W89" i="5"/>
  <c r="Y89" i="5"/>
  <c r="V90" i="5"/>
  <c r="W90" i="5"/>
  <c r="Y90" i="5"/>
  <c r="V91" i="5"/>
  <c r="W91" i="5"/>
  <c r="Y91" i="5"/>
  <c r="V92" i="5"/>
  <c r="W92" i="5"/>
  <c r="Y92" i="5"/>
  <c r="V93" i="5"/>
  <c r="W93" i="5"/>
  <c r="Y93" i="5"/>
  <c r="V94" i="5"/>
  <c r="W94" i="5"/>
  <c r="Y94" i="5"/>
  <c r="V95" i="5"/>
  <c r="W95" i="5"/>
  <c r="Y95" i="5"/>
  <c r="V96" i="5"/>
  <c r="W96" i="5"/>
  <c r="Y96" i="5"/>
  <c r="V97" i="5"/>
  <c r="W97" i="5"/>
  <c r="Y97" i="5"/>
  <c r="V98" i="5"/>
  <c r="W98" i="5"/>
  <c r="Y98" i="5"/>
  <c r="V99" i="5"/>
  <c r="W99" i="5"/>
  <c r="Y99" i="5"/>
  <c r="V100" i="5"/>
  <c r="W100" i="5"/>
  <c r="Y100" i="5"/>
  <c r="V101" i="5"/>
  <c r="W101" i="5"/>
  <c r="Y101" i="5"/>
  <c r="V102" i="5"/>
  <c r="W102" i="5"/>
  <c r="Y102" i="5"/>
  <c r="V103" i="5"/>
  <c r="W103" i="5"/>
  <c r="Y103" i="5"/>
  <c r="V104" i="5"/>
  <c r="W104" i="5"/>
  <c r="Y104" i="5"/>
  <c r="V105" i="5"/>
  <c r="W105" i="5"/>
  <c r="Y105" i="5"/>
  <c r="V106" i="5"/>
  <c r="W106" i="5"/>
  <c r="Y106" i="5"/>
  <c r="V107" i="5"/>
  <c r="W107" i="5"/>
  <c r="Y107" i="5"/>
  <c r="V108" i="5"/>
  <c r="W108" i="5"/>
  <c r="Y108" i="5"/>
  <c r="V109" i="5"/>
  <c r="W109" i="5"/>
  <c r="Y109" i="5"/>
  <c r="V110" i="5"/>
  <c r="W110" i="5"/>
  <c r="Y110" i="5"/>
  <c r="V111" i="5"/>
  <c r="W111" i="5"/>
  <c r="Y111" i="5"/>
  <c r="V112" i="5"/>
  <c r="W112" i="5"/>
  <c r="Y112" i="5"/>
  <c r="V113" i="5"/>
  <c r="W113" i="5"/>
  <c r="Y113" i="5"/>
  <c r="V114" i="5"/>
  <c r="W114" i="5"/>
  <c r="Y114" i="5"/>
  <c r="V115" i="5"/>
  <c r="W115" i="5"/>
  <c r="Y115" i="5"/>
  <c r="V116" i="5"/>
  <c r="W116" i="5"/>
  <c r="Y116" i="5"/>
  <c r="V117" i="5"/>
  <c r="W117" i="5"/>
  <c r="Y117" i="5"/>
  <c r="V118" i="5"/>
  <c r="W118" i="5"/>
  <c r="Y118" i="5"/>
  <c r="V119" i="5"/>
  <c r="W119" i="5"/>
  <c r="Y119" i="5"/>
  <c r="V120" i="5"/>
  <c r="W120" i="5"/>
  <c r="Y120" i="5"/>
  <c r="V121" i="5"/>
  <c r="W121" i="5"/>
  <c r="Y121" i="5"/>
  <c r="V122" i="5"/>
  <c r="W122" i="5"/>
  <c r="Y122" i="5"/>
  <c r="V123" i="5"/>
  <c r="W123" i="5"/>
  <c r="Y123" i="5"/>
  <c r="V124" i="5"/>
  <c r="W124" i="5"/>
  <c r="Y124" i="5"/>
  <c r="V125" i="5"/>
  <c r="W125" i="5"/>
  <c r="Y125" i="5"/>
  <c r="V126" i="5"/>
  <c r="W126" i="5"/>
  <c r="Y126" i="5"/>
  <c r="V127" i="5"/>
  <c r="W127" i="5"/>
  <c r="Y127" i="5"/>
  <c r="V128" i="5"/>
  <c r="W128" i="5"/>
  <c r="Y128" i="5"/>
  <c r="V129" i="5"/>
  <c r="W129" i="5"/>
  <c r="Y129" i="5"/>
  <c r="V130" i="5"/>
  <c r="W130" i="5"/>
  <c r="Y130" i="5"/>
  <c r="V131" i="5"/>
  <c r="W131" i="5"/>
  <c r="Y131" i="5"/>
  <c r="V132" i="5"/>
  <c r="W132" i="5"/>
  <c r="Y132" i="5"/>
  <c r="V133" i="5"/>
  <c r="W133" i="5"/>
  <c r="Y133" i="5"/>
  <c r="V134" i="5"/>
  <c r="W134" i="5"/>
  <c r="Y134" i="5"/>
  <c r="V135" i="5"/>
  <c r="W135" i="5"/>
  <c r="Y135" i="5"/>
  <c r="V136" i="5"/>
  <c r="W136" i="5"/>
  <c r="Y136" i="5"/>
  <c r="V137" i="5"/>
  <c r="W137" i="5"/>
  <c r="Y137" i="5"/>
  <c r="V138" i="5"/>
  <c r="W138" i="5"/>
  <c r="Y138" i="5"/>
  <c r="V139" i="5"/>
  <c r="W139" i="5"/>
  <c r="Y139" i="5"/>
  <c r="V140" i="5"/>
  <c r="W140" i="5"/>
  <c r="Y140" i="5"/>
  <c r="V141" i="5"/>
  <c r="W141" i="5"/>
  <c r="Y141" i="5"/>
  <c r="V142" i="5"/>
  <c r="W142" i="5"/>
  <c r="Y142" i="5"/>
  <c r="V143" i="5"/>
  <c r="W143" i="5"/>
  <c r="Y143" i="5"/>
  <c r="V144" i="5"/>
  <c r="W144" i="5"/>
  <c r="Y144" i="5"/>
  <c r="V145" i="5"/>
  <c r="W145" i="5"/>
  <c r="Y145" i="5"/>
  <c r="V146" i="5"/>
  <c r="W146" i="5"/>
  <c r="Y146" i="5"/>
  <c r="V147" i="5"/>
  <c r="W147" i="5"/>
  <c r="Y147" i="5"/>
  <c r="V148" i="5"/>
  <c r="W148" i="5"/>
  <c r="Y148" i="5"/>
  <c r="V149" i="5"/>
  <c r="W149" i="5"/>
  <c r="Y149" i="5"/>
  <c r="V150" i="5"/>
  <c r="W150" i="5"/>
  <c r="Y150" i="5"/>
  <c r="V151" i="5"/>
  <c r="W151" i="5"/>
  <c r="Y151" i="5"/>
  <c r="V152" i="5"/>
  <c r="W152" i="5"/>
  <c r="Y152" i="5"/>
  <c r="V153" i="5"/>
  <c r="W153" i="5"/>
  <c r="Y153" i="5"/>
  <c r="V154" i="5"/>
  <c r="W154" i="5"/>
  <c r="Y154" i="5"/>
  <c r="V155" i="5"/>
  <c r="W155" i="5"/>
  <c r="Y155" i="5"/>
  <c r="V156" i="5"/>
  <c r="W156" i="5"/>
  <c r="Y156" i="5"/>
  <c r="V157" i="5"/>
  <c r="W157" i="5"/>
  <c r="Y157" i="5"/>
  <c r="V158" i="5"/>
  <c r="W158" i="5"/>
  <c r="Y158" i="5"/>
  <c r="V159" i="5"/>
  <c r="W159" i="5"/>
  <c r="Y159" i="5"/>
  <c r="V160" i="5"/>
  <c r="W160" i="5"/>
  <c r="Y160" i="5"/>
  <c r="V161" i="5"/>
  <c r="W161" i="5"/>
  <c r="Y161" i="5"/>
  <c r="V162" i="5"/>
  <c r="W162" i="5"/>
  <c r="Y162" i="5"/>
  <c r="V163" i="5"/>
  <c r="W163" i="5"/>
  <c r="Y163" i="5"/>
  <c r="V164" i="5"/>
  <c r="W164" i="5"/>
  <c r="Y164" i="5"/>
  <c r="V165" i="5"/>
  <c r="W165" i="5"/>
  <c r="Y165" i="5"/>
  <c r="V166" i="5"/>
  <c r="W166" i="5"/>
  <c r="Y166" i="5"/>
  <c r="V167" i="5"/>
  <c r="W167" i="5"/>
  <c r="Y167" i="5"/>
  <c r="V168" i="5"/>
  <c r="W168" i="5"/>
  <c r="Y168" i="5"/>
  <c r="V169" i="5"/>
  <c r="W169" i="5"/>
  <c r="Y169" i="5"/>
  <c r="V170" i="5"/>
  <c r="W170" i="5"/>
  <c r="Y170" i="5"/>
  <c r="V171" i="5"/>
  <c r="W171" i="5"/>
  <c r="Y171" i="5"/>
  <c r="V172" i="5"/>
  <c r="W172" i="5"/>
  <c r="Y172" i="5"/>
  <c r="V173" i="5"/>
  <c r="W173" i="5"/>
  <c r="Y173" i="5"/>
  <c r="V174" i="5"/>
  <c r="W174" i="5"/>
  <c r="Y174" i="5"/>
  <c r="V175" i="5"/>
  <c r="W175" i="5"/>
  <c r="Y175" i="5"/>
  <c r="V176" i="5"/>
  <c r="W176" i="5"/>
  <c r="Y176" i="5"/>
  <c r="V177" i="5"/>
  <c r="W177" i="5"/>
  <c r="Y177" i="5"/>
  <c r="V178" i="5"/>
  <c r="W178" i="5"/>
  <c r="Y178" i="5"/>
  <c r="V179" i="5"/>
  <c r="W179" i="5"/>
  <c r="Y179" i="5"/>
  <c r="V180" i="5"/>
  <c r="W180" i="5"/>
  <c r="Y180" i="5"/>
  <c r="V181" i="5"/>
  <c r="W181" i="5"/>
  <c r="Y181" i="5"/>
  <c r="V182" i="5"/>
  <c r="W182" i="5"/>
  <c r="Y182" i="5"/>
  <c r="V183" i="5"/>
  <c r="W183" i="5"/>
  <c r="Y183" i="5"/>
  <c r="V184" i="5"/>
  <c r="W184" i="5"/>
  <c r="Y184" i="5"/>
  <c r="V185" i="5"/>
  <c r="W185" i="5"/>
  <c r="Y185" i="5"/>
  <c r="V186" i="5"/>
  <c r="W186" i="5"/>
  <c r="Y186" i="5"/>
  <c r="V187" i="5"/>
  <c r="W187" i="5"/>
  <c r="Y187" i="5"/>
  <c r="V188" i="5"/>
  <c r="W188" i="5"/>
  <c r="Y188" i="5"/>
  <c r="V189" i="5"/>
  <c r="W189" i="5"/>
  <c r="Y189" i="5"/>
  <c r="V190" i="5"/>
  <c r="W190" i="5"/>
  <c r="Y190" i="5"/>
  <c r="V191" i="5"/>
  <c r="W191" i="5"/>
  <c r="Y191" i="5"/>
  <c r="V192" i="5"/>
  <c r="W192" i="5"/>
  <c r="Y192" i="5"/>
  <c r="V193" i="5"/>
  <c r="W193" i="5"/>
  <c r="Y193" i="5"/>
  <c r="V194" i="5"/>
  <c r="W194" i="5"/>
  <c r="Y194" i="5"/>
  <c r="V195" i="5"/>
  <c r="W195" i="5"/>
  <c r="Y195" i="5"/>
  <c r="V196" i="5"/>
  <c r="W196" i="5"/>
  <c r="Y196" i="5"/>
  <c r="V197" i="5"/>
  <c r="W197" i="5"/>
  <c r="Y197" i="5"/>
  <c r="V198" i="5"/>
  <c r="W198" i="5"/>
  <c r="Y198" i="5"/>
  <c r="V199" i="5"/>
  <c r="W199" i="5"/>
  <c r="Y199" i="5"/>
  <c r="V200" i="5"/>
  <c r="W200" i="5"/>
  <c r="Y200" i="5"/>
  <c r="V201" i="5"/>
  <c r="W201" i="5"/>
  <c r="Y201" i="5"/>
  <c r="V202" i="5"/>
  <c r="W202" i="5"/>
  <c r="Y202" i="5"/>
  <c r="V203" i="5"/>
  <c r="W203" i="5"/>
  <c r="Y203" i="5"/>
  <c r="V204" i="5"/>
  <c r="W204" i="5"/>
  <c r="Y204" i="5"/>
  <c r="V205" i="5"/>
  <c r="W205" i="5"/>
  <c r="Y205" i="5"/>
  <c r="V206" i="5"/>
  <c r="W206" i="5"/>
  <c r="Y206" i="5"/>
  <c r="V207" i="5"/>
  <c r="W207" i="5"/>
  <c r="Y207" i="5"/>
  <c r="V208" i="5"/>
  <c r="W208" i="5"/>
  <c r="Y208" i="5"/>
  <c r="V209" i="5"/>
  <c r="W209" i="5"/>
  <c r="Y209" i="5"/>
  <c r="V210" i="5"/>
  <c r="W210" i="5"/>
  <c r="Y210" i="5"/>
  <c r="V211" i="5"/>
  <c r="W211" i="5"/>
  <c r="Y211" i="5"/>
  <c r="V212" i="5"/>
  <c r="W212" i="5"/>
  <c r="Y212" i="5"/>
  <c r="V213" i="5"/>
  <c r="W213" i="5"/>
  <c r="Y213" i="5"/>
  <c r="V214" i="5"/>
  <c r="W214" i="5"/>
  <c r="Y214" i="5"/>
  <c r="V215" i="5"/>
  <c r="W215" i="5"/>
  <c r="Y215" i="5"/>
  <c r="V216" i="5"/>
  <c r="W216" i="5"/>
  <c r="Y216" i="5"/>
  <c r="V217" i="5"/>
  <c r="W217" i="5"/>
  <c r="Y217" i="5"/>
  <c r="V218" i="5"/>
  <c r="W218" i="5"/>
  <c r="Y218" i="5"/>
  <c r="V219" i="5"/>
  <c r="W219" i="5"/>
  <c r="Y219" i="5"/>
  <c r="V220" i="5"/>
  <c r="W220" i="5"/>
  <c r="Y220" i="5"/>
  <c r="V221" i="5"/>
  <c r="W221" i="5"/>
  <c r="Y221" i="5"/>
  <c r="V222" i="5"/>
  <c r="W222" i="5"/>
  <c r="Y222" i="5"/>
  <c r="V223" i="5"/>
  <c r="W223" i="5"/>
  <c r="Y223" i="5"/>
  <c r="V224" i="5"/>
  <c r="W224" i="5"/>
  <c r="Y224" i="5"/>
  <c r="V225" i="5"/>
  <c r="W225" i="5"/>
  <c r="Y225" i="5"/>
  <c r="V226" i="5"/>
  <c r="W226" i="5"/>
  <c r="Y226" i="5"/>
  <c r="V227" i="5"/>
  <c r="W227" i="5"/>
  <c r="Y227" i="5"/>
  <c r="V228" i="5"/>
  <c r="W228" i="5"/>
  <c r="Y228" i="5"/>
  <c r="V229" i="5"/>
  <c r="W229" i="5"/>
  <c r="Y229" i="5"/>
  <c r="V230" i="5"/>
  <c r="W230" i="5"/>
  <c r="Y230" i="5"/>
  <c r="V231" i="5"/>
  <c r="W231" i="5"/>
  <c r="Y231" i="5"/>
  <c r="V232" i="5"/>
  <c r="W232" i="5"/>
  <c r="Y232" i="5"/>
  <c r="V233" i="5"/>
  <c r="W233" i="5"/>
  <c r="Y233" i="5"/>
  <c r="V234" i="5"/>
  <c r="W234" i="5"/>
  <c r="Y234" i="5"/>
  <c r="V235" i="5"/>
  <c r="W235" i="5"/>
  <c r="Y235" i="5"/>
  <c r="V236" i="5"/>
  <c r="W236" i="5"/>
  <c r="Y236" i="5"/>
  <c r="V237" i="5"/>
  <c r="W237" i="5"/>
  <c r="Y237" i="5"/>
  <c r="V238" i="5"/>
  <c r="W238" i="5"/>
  <c r="Y238" i="5"/>
  <c r="V239" i="5"/>
  <c r="W239" i="5"/>
  <c r="Y239" i="5"/>
  <c r="V240" i="5"/>
  <c r="W240" i="5"/>
  <c r="Y240" i="5"/>
  <c r="V241" i="5"/>
  <c r="W241" i="5"/>
  <c r="Y241" i="5"/>
  <c r="V242" i="5"/>
  <c r="W242" i="5"/>
  <c r="Y242" i="5"/>
  <c r="V243" i="5"/>
  <c r="W243" i="5"/>
  <c r="Y243" i="5"/>
  <c r="V244" i="5"/>
  <c r="W244" i="5"/>
  <c r="Y244" i="5"/>
  <c r="V245" i="5"/>
  <c r="W245" i="5"/>
  <c r="Y245" i="5"/>
  <c r="V246" i="5"/>
  <c r="W246" i="5"/>
  <c r="Y246" i="5"/>
  <c r="V247" i="5"/>
  <c r="W247" i="5"/>
  <c r="Y247" i="5"/>
  <c r="V248" i="5"/>
  <c r="W248" i="5"/>
  <c r="Y248" i="5"/>
  <c r="V249" i="5"/>
  <c r="W249" i="5"/>
  <c r="Y249" i="5"/>
  <c r="V250" i="5"/>
  <c r="W250" i="5"/>
  <c r="Y250" i="5"/>
  <c r="V251" i="5"/>
  <c r="W251" i="5"/>
  <c r="Y251" i="5"/>
  <c r="V252" i="5"/>
  <c r="W252" i="5"/>
  <c r="Y252" i="5"/>
  <c r="V253" i="5"/>
  <c r="W253" i="5"/>
  <c r="Y253" i="5"/>
  <c r="V254" i="5"/>
  <c r="W254" i="5"/>
  <c r="Y254" i="5"/>
  <c r="V255" i="5"/>
  <c r="W255" i="5"/>
  <c r="Y255" i="5"/>
  <c r="V256" i="5"/>
  <c r="W256" i="5"/>
  <c r="Y256" i="5"/>
  <c r="V257" i="5"/>
  <c r="W257" i="5"/>
  <c r="Y257" i="5"/>
  <c r="V258" i="5"/>
  <c r="W258" i="5"/>
  <c r="Y258" i="5"/>
  <c r="V259" i="5"/>
  <c r="W259" i="5"/>
  <c r="Y259" i="5"/>
  <c r="V260" i="5"/>
  <c r="W260" i="5"/>
  <c r="Y260" i="5"/>
  <c r="V261" i="5"/>
  <c r="W261" i="5"/>
  <c r="Y261" i="5"/>
  <c r="V262" i="5"/>
  <c r="W262" i="5"/>
  <c r="Y262" i="5"/>
  <c r="V263" i="5"/>
  <c r="W263" i="5"/>
  <c r="Y263" i="5"/>
  <c r="V264" i="5"/>
  <c r="W264" i="5"/>
  <c r="Y264" i="5"/>
  <c r="V265" i="5"/>
  <c r="W265" i="5"/>
  <c r="Y265" i="5"/>
  <c r="V266" i="5"/>
  <c r="W266" i="5"/>
  <c r="Y266" i="5"/>
  <c r="V267" i="5"/>
  <c r="W267" i="5"/>
  <c r="Y267" i="5"/>
  <c r="V268" i="5"/>
  <c r="W268" i="5"/>
  <c r="Y268" i="5"/>
  <c r="V269" i="5"/>
  <c r="W269" i="5"/>
  <c r="Y269" i="5"/>
  <c r="V270" i="5"/>
  <c r="W270" i="5"/>
  <c r="Y270" i="5"/>
  <c r="V271" i="5"/>
  <c r="W271" i="5"/>
  <c r="Y271" i="5"/>
  <c r="V272" i="5"/>
  <c r="W272" i="5"/>
  <c r="Y272" i="5"/>
  <c r="V273" i="5"/>
  <c r="W273" i="5"/>
  <c r="Y273" i="5"/>
  <c r="V274" i="5"/>
  <c r="W274" i="5"/>
  <c r="Y274" i="5"/>
  <c r="V275" i="5"/>
  <c r="W275" i="5"/>
  <c r="Y275" i="5"/>
  <c r="V276" i="5"/>
  <c r="W276" i="5"/>
  <c r="Y276" i="5"/>
  <c r="V277" i="5"/>
  <c r="W277" i="5"/>
  <c r="Y277" i="5"/>
  <c r="V278" i="5"/>
  <c r="W278" i="5"/>
  <c r="Y278" i="5"/>
  <c r="V279" i="5"/>
  <c r="W279" i="5"/>
  <c r="Y279" i="5"/>
  <c r="V280" i="5"/>
  <c r="W280" i="5"/>
  <c r="Y280" i="5"/>
  <c r="V281" i="5"/>
  <c r="W281" i="5"/>
  <c r="Y281" i="5"/>
  <c r="V282" i="5"/>
  <c r="W282" i="5"/>
  <c r="Y282" i="5"/>
  <c r="V283" i="5"/>
  <c r="W283" i="5"/>
  <c r="Y283" i="5"/>
  <c r="V284" i="5"/>
  <c r="W284" i="5"/>
  <c r="Y284" i="5"/>
  <c r="V285" i="5"/>
  <c r="W285" i="5"/>
  <c r="Y285" i="5"/>
  <c r="V286" i="5"/>
  <c r="W286" i="5"/>
  <c r="Y286" i="5"/>
  <c r="V287" i="5"/>
  <c r="W287" i="5"/>
  <c r="Y287" i="5"/>
  <c r="V288" i="5"/>
  <c r="W288" i="5"/>
  <c r="Y288" i="5"/>
  <c r="V289" i="5"/>
  <c r="W289" i="5"/>
  <c r="Y289" i="5"/>
  <c r="V290" i="5"/>
  <c r="W290" i="5"/>
  <c r="Y290" i="5"/>
  <c r="V291" i="5"/>
  <c r="W291" i="5"/>
  <c r="Y291" i="5"/>
  <c r="V292" i="5"/>
  <c r="W292" i="5"/>
  <c r="Y292" i="5"/>
  <c r="V293" i="5"/>
  <c r="W293" i="5"/>
  <c r="Y293" i="5"/>
  <c r="V294" i="5"/>
  <c r="W294" i="5"/>
  <c r="Y294" i="5"/>
  <c r="V295" i="5"/>
  <c r="W295" i="5"/>
  <c r="Y295" i="5"/>
  <c r="V296" i="5"/>
  <c r="W296" i="5"/>
  <c r="Y296" i="5"/>
  <c r="V297" i="5"/>
  <c r="W297" i="5"/>
  <c r="Y297" i="5"/>
  <c r="V298" i="5"/>
  <c r="W298" i="5"/>
  <c r="Y298" i="5"/>
  <c r="V299" i="5"/>
  <c r="W299" i="5"/>
  <c r="Y299" i="5"/>
  <c r="V300" i="5"/>
  <c r="W300" i="5"/>
  <c r="Y300" i="5"/>
  <c r="V301" i="5"/>
  <c r="W301" i="5"/>
  <c r="Y301" i="5"/>
  <c r="V302" i="5"/>
  <c r="W302" i="5"/>
  <c r="Y302" i="5"/>
  <c r="V303" i="5"/>
  <c r="W303" i="5"/>
  <c r="Y303" i="5"/>
  <c r="V304" i="5"/>
  <c r="W304" i="5"/>
  <c r="Y304" i="5"/>
  <c r="V305" i="5"/>
  <c r="W305" i="5"/>
  <c r="Y305" i="5"/>
  <c r="V306" i="5"/>
  <c r="W306" i="5"/>
  <c r="Y306" i="5"/>
  <c r="V307" i="5"/>
  <c r="W307" i="5"/>
  <c r="Y307" i="5"/>
  <c r="V308" i="5"/>
  <c r="W308" i="5"/>
  <c r="Y308" i="5"/>
  <c r="V309" i="5"/>
  <c r="W309" i="5"/>
  <c r="Y309" i="5"/>
  <c r="V310" i="5"/>
  <c r="W310" i="5"/>
  <c r="Y310" i="5"/>
  <c r="V311" i="5"/>
  <c r="W311" i="5"/>
  <c r="Y311" i="5"/>
  <c r="V312" i="5"/>
  <c r="W312" i="5"/>
  <c r="Y312" i="5"/>
  <c r="V313" i="5"/>
  <c r="W313" i="5"/>
  <c r="Y313" i="5"/>
  <c r="V314" i="5"/>
  <c r="W314" i="5"/>
  <c r="Y314" i="5"/>
  <c r="V315" i="5"/>
  <c r="W315" i="5"/>
  <c r="Y315" i="5"/>
  <c r="V316" i="5"/>
  <c r="W316" i="5"/>
  <c r="Y316" i="5"/>
  <c r="V317" i="5"/>
  <c r="W317" i="5"/>
  <c r="Y317" i="5"/>
  <c r="V318" i="5"/>
  <c r="W318" i="5"/>
  <c r="Y318" i="5"/>
  <c r="V319" i="5"/>
  <c r="W319" i="5"/>
  <c r="Y319" i="5"/>
  <c r="V320" i="5"/>
  <c r="W320" i="5"/>
  <c r="Y320" i="5"/>
  <c r="V321" i="5"/>
  <c r="W321" i="5"/>
  <c r="Y321" i="5"/>
  <c r="V322" i="5"/>
  <c r="W322" i="5"/>
  <c r="Y322" i="5"/>
  <c r="V323" i="5"/>
  <c r="W323" i="5"/>
  <c r="Y323" i="5"/>
  <c r="V324" i="5"/>
  <c r="W324" i="5"/>
  <c r="Y324" i="5"/>
  <c r="V325" i="5"/>
  <c r="W325" i="5"/>
  <c r="Y325" i="5"/>
  <c r="V326" i="5"/>
  <c r="W326" i="5"/>
  <c r="Y326" i="5"/>
  <c r="V327" i="5"/>
  <c r="W327" i="5"/>
  <c r="Y327" i="5"/>
  <c r="V328" i="5"/>
  <c r="W328" i="5"/>
  <c r="Y328" i="5"/>
  <c r="V329" i="5"/>
  <c r="W329" i="5"/>
  <c r="Y329" i="5"/>
  <c r="V330" i="5"/>
  <c r="W330" i="5"/>
  <c r="Y330" i="5"/>
  <c r="V331" i="5"/>
  <c r="W331" i="5"/>
  <c r="Y331" i="5"/>
  <c r="V332" i="5"/>
  <c r="W332" i="5"/>
  <c r="Y332" i="5"/>
  <c r="V333" i="5"/>
  <c r="W333" i="5"/>
  <c r="Y333" i="5"/>
  <c r="V334" i="5"/>
  <c r="W334" i="5"/>
  <c r="Y334" i="5"/>
  <c r="V335" i="5"/>
  <c r="W335" i="5"/>
  <c r="Y335" i="5"/>
  <c r="V336" i="5"/>
  <c r="W336" i="5"/>
  <c r="Y336" i="5"/>
  <c r="V337" i="5"/>
  <c r="W337" i="5"/>
  <c r="Y337" i="5"/>
  <c r="V338" i="5"/>
  <c r="W338" i="5"/>
  <c r="Y338" i="5"/>
  <c r="V339" i="5"/>
  <c r="W339" i="5"/>
  <c r="Y339" i="5"/>
  <c r="V340" i="5"/>
  <c r="W340" i="5"/>
  <c r="Y340" i="5"/>
  <c r="V341" i="5"/>
  <c r="W341" i="5"/>
  <c r="Y341" i="5"/>
  <c r="V342" i="5"/>
  <c r="W342" i="5"/>
  <c r="Y342" i="5"/>
  <c r="V343" i="5"/>
  <c r="W343" i="5"/>
  <c r="Y343" i="5"/>
  <c r="V344" i="5"/>
  <c r="W344" i="5"/>
  <c r="Y344" i="5"/>
  <c r="V345" i="5"/>
  <c r="W345" i="5"/>
  <c r="Y345" i="5"/>
  <c r="V346" i="5"/>
  <c r="W346" i="5"/>
  <c r="Y346" i="5"/>
  <c r="V347" i="5"/>
  <c r="W347" i="5"/>
  <c r="Y347" i="5"/>
  <c r="V348" i="5"/>
  <c r="W348" i="5"/>
  <c r="Y348" i="5"/>
  <c r="V349" i="5"/>
  <c r="W349" i="5"/>
  <c r="Y349" i="5"/>
  <c r="V350" i="5"/>
  <c r="W350" i="5"/>
  <c r="Y350" i="5"/>
  <c r="W2" i="5"/>
  <c r="V2" i="5"/>
  <c r="Y2" i="5"/>
  <c r="D9" i="5"/>
  <c r="D10" i="5"/>
  <c r="D11" i="5"/>
  <c r="D12" i="5"/>
  <c r="D13" i="5"/>
  <c r="D15" i="5"/>
  <c r="D16" i="5"/>
  <c r="D17" i="5"/>
  <c r="D18" i="5"/>
  <c r="D19" i="5"/>
  <c r="D20" i="5"/>
  <c r="D21" i="5"/>
  <c r="D22" i="5"/>
  <c r="D23" i="5"/>
  <c r="D24" i="5"/>
  <c r="D25" i="5"/>
  <c r="D27" i="5"/>
  <c r="D28" i="5"/>
  <c r="D29" i="5"/>
  <c r="D30" i="5"/>
  <c r="D31" i="5"/>
  <c r="D32" i="5"/>
  <c r="D33" i="5"/>
  <c r="D34" i="5"/>
  <c r="D35" i="5"/>
  <c r="D36" i="5"/>
  <c r="D37" i="5"/>
  <c r="D39" i="5"/>
  <c r="D40" i="5"/>
  <c r="D41" i="5"/>
  <c r="D42" i="5"/>
  <c r="D43" i="5"/>
  <c r="D44" i="5"/>
  <c r="D45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5" i="5"/>
  <c r="D76" i="5"/>
  <c r="D78" i="5"/>
  <c r="D79" i="5"/>
  <c r="D80" i="5"/>
  <c r="D83" i="5"/>
  <c r="D84" i="5"/>
  <c r="D85" i="5"/>
  <c r="D86" i="5"/>
  <c r="D87" i="5"/>
  <c r="D89" i="5"/>
  <c r="D90" i="5"/>
  <c r="D91" i="5"/>
  <c r="D92" i="5"/>
  <c r="D93" i="5"/>
  <c r="D94" i="5"/>
  <c r="D95" i="5"/>
  <c r="D96" i="5"/>
  <c r="D97" i="5"/>
  <c r="B2" i="5"/>
  <c r="B8" i="5"/>
  <c r="B9" i="5"/>
  <c r="B10" i="5"/>
  <c r="B11" i="5"/>
  <c r="B12" i="5"/>
  <c r="B13" i="5"/>
  <c r="B14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61" i="5"/>
  <c r="B62" i="5"/>
  <c r="B63" i="5"/>
  <c r="B64" i="5"/>
  <c r="B65" i="5"/>
  <c r="B66" i="5"/>
  <c r="B71" i="5"/>
  <c r="B73" i="5"/>
  <c r="B74" i="5"/>
  <c r="B75" i="5"/>
  <c r="B76" i="5"/>
  <c r="B77" i="5"/>
  <c r="B78" i="5"/>
  <c r="B80" i="5"/>
  <c r="B81" i="5"/>
  <c r="B82" i="5"/>
  <c r="B83" i="5"/>
  <c r="B87" i="5"/>
  <c r="B89" i="5"/>
  <c r="B90" i="5"/>
  <c r="B91" i="5"/>
  <c r="B92" i="5"/>
  <c r="B93" i="5"/>
  <c r="B94" i="5"/>
  <c r="B95" i="5"/>
  <c r="B96" i="5"/>
  <c r="B97" i="5"/>
  <c r="O141" i="5" l="1"/>
  <c r="O118" i="5"/>
  <c r="O110" i="5"/>
  <c r="O102" i="5"/>
  <c r="O241" i="5"/>
  <c r="O228" i="5"/>
  <c r="O211" i="5"/>
  <c r="O206" i="5"/>
  <c r="O187" i="5"/>
  <c r="O180" i="5"/>
  <c r="O169" i="5"/>
  <c r="O168" i="5"/>
  <c r="O167" i="5"/>
  <c r="K147" i="5"/>
  <c r="L147" i="5" s="1"/>
  <c r="N147" i="5" s="1"/>
  <c r="O136" i="5"/>
  <c r="K131" i="5"/>
  <c r="L131" i="5" s="1"/>
  <c r="N131" i="5" s="1"/>
  <c r="O119" i="5"/>
  <c r="O111" i="5"/>
  <c r="O103" i="5"/>
  <c r="O343" i="5"/>
  <c r="O338" i="5"/>
  <c r="K329" i="5"/>
  <c r="L329" i="5" s="1"/>
  <c r="N329" i="5" s="1"/>
  <c r="O300" i="5"/>
  <c r="O285" i="5"/>
  <c r="O267" i="5"/>
  <c r="O246" i="5"/>
  <c r="O236" i="5"/>
  <c r="O233" i="5"/>
  <c r="O224" i="5"/>
  <c r="K220" i="5"/>
  <c r="L220" i="5" s="1"/>
  <c r="N220" i="5" s="1"/>
  <c r="O212" i="5"/>
  <c r="O188" i="5"/>
  <c r="K186" i="5"/>
  <c r="L186" i="5" s="1"/>
  <c r="N186" i="5" s="1"/>
  <c r="O181" i="5"/>
  <c r="K179" i="5"/>
  <c r="L179" i="5" s="1"/>
  <c r="N179" i="5" s="1"/>
  <c r="O170" i="5"/>
  <c r="K166" i="5"/>
  <c r="L166" i="5" s="1"/>
  <c r="N166" i="5" s="1"/>
  <c r="K155" i="5"/>
  <c r="L155" i="5" s="1"/>
  <c r="N155" i="5" s="1"/>
  <c r="O346" i="5"/>
  <c r="O305" i="5"/>
  <c r="O263" i="5"/>
  <c r="O244" i="5"/>
  <c r="K207" i="5"/>
  <c r="L207" i="5" s="1"/>
  <c r="N207" i="5" s="1"/>
  <c r="O216" i="5"/>
  <c r="O347" i="5"/>
  <c r="K333" i="5"/>
  <c r="L333" i="5" s="1"/>
  <c r="N333" i="5" s="1"/>
  <c r="O314" i="5"/>
  <c r="K209" i="5"/>
  <c r="L209" i="5" s="1"/>
  <c r="N209" i="5" s="1"/>
  <c r="O154" i="5"/>
  <c r="Q154" i="5" s="1"/>
  <c r="R154" i="5" s="1"/>
  <c r="K235" i="5"/>
  <c r="L235" i="5" s="1"/>
  <c r="N235" i="5" s="1"/>
  <c r="O235" i="5"/>
  <c r="K243" i="5"/>
  <c r="L243" i="5" s="1"/>
  <c r="N243" i="5" s="1"/>
  <c r="O243" i="5"/>
  <c r="O183" i="5"/>
  <c r="Q183" i="5" s="1"/>
  <c r="R183" i="5" s="1"/>
  <c r="K183" i="5"/>
  <c r="L183" i="5" s="1"/>
  <c r="N183" i="5" s="1"/>
  <c r="Q54" i="5"/>
  <c r="R54" i="5" s="1"/>
  <c r="O204" i="5"/>
  <c r="K204" i="5"/>
  <c r="L204" i="5" s="1"/>
  <c r="N204" i="5" s="1"/>
  <c r="K146" i="5"/>
  <c r="L146" i="5" s="1"/>
  <c r="N146" i="5" s="1"/>
  <c r="O146" i="5"/>
  <c r="K340" i="5"/>
  <c r="L340" i="5" s="1"/>
  <c r="N340" i="5" s="1"/>
  <c r="O340" i="5"/>
  <c r="Q340" i="5" s="1"/>
  <c r="R340" i="5" s="1"/>
  <c r="K344" i="5"/>
  <c r="L344" i="5" s="1"/>
  <c r="N344" i="5" s="1"/>
  <c r="O344" i="5"/>
  <c r="O348" i="5"/>
  <c r="K348" i="5"/>
  <c r="L348" i="5" s="1"/>
  <c r="N348" i="5" s="1"/>
  <c r="K205" i="5"/>
  <c r="L205" i="5" s="1"/>
  <c r="N205" i="5" s="1"/>
  <c r="O205" i="5"/>
  <c r="K256" i="5"/>
  <c r="L256" i="5" s="1"/>
  <c r="N256" i="5" s="1"/>
  <c r="O256" i="5"/>
  <c r="Q256" i="5" s="1"/>
  <c r="R256" i="5" s="1"/>
  <c r="K259" i="5"/>
  <c r="L259" i="5" s="1"/>
  <c r="N259" i="5" s="1"/>
  <c r="O259" i="5"/>
  <c r="K132" i="5"/>
  <c r="L132" i="5" s="1"/>
  <c r="N132" i="5" s="1"/>
  <c r="O132" i="5"/>
  <c r="K230" i="5"/>
  <c r="L230" i="5" s="1"/>
  <c r="N230" i="5" s="1"/>
  <c r="O230" i="5"/>
  <c r="Q230" i="5" s="1"/>
  <c r="R230" i="5" s="1"/>
  <c r="K237" i="5"/>
  <c r="L237" i="5" s="1"/>
  <c r="N237" i="5" s="1"/>
  <c r="O237" i="5"/>
  <c r="Q237" i="5" s="1"/>
  <c r="R237" i="5" s="1"/>
  <c r="K253" i="5"/>
  <c r="L253" i="5" s="1"/>
  <c r="N253" i="5" s="1"/>
  <c r="O253" i="5"/>
  <c r="Q253" i="5" s="1"/>
  <c r="R253" i="5" s="1"/>
  <c r="K272" i="5"/>
  <c r="L272" i="5" s="1"/>
  <c r="N272" i="5" s="1"/>
  <c r="O272" i="5"/>
  <c r="K286" i="5"/>
  <c r="L286" i="5" s="1"/>
  <c r="N286" i="5" s="1"/>
  <c r="O286" i="5"/>
  <c r="K287" i="5"/>
  <c r="L287" i="5" s="1"/>
  <c r="N287" i="5" s="1"/>
  <c r="O287" i="5"/>
  <c r="K293" i="5"/>
  <c r="L293" i="5" s="1"/>
  <c r="N293" i="5" s="1"/>
  <c r="O293" i="5"/>
  <c r="K298" i="5"/>
  <c r="L298" i="5" s="1"/>
  <c r="N298" i="5" s="1"/>
  <c r="O298" i="5"/>
  <c r="Q298" i="5" s="1"/>
  <c r="R298" i="5" s="1"/>
  <c r="K304" i="5"/>
  <c r="L304" i="5" s="1"/>
  <c r="N304" i="5" s="1"/>
  <c r="O304" i="5"/>
  <c r="Q304" i="5" s="1"/>
  <c r="R304" i="5" s="1"/>
  <c r="K320" i="5"/>
  <c r="L320" i="5" s="1"/>
  <c r="N320" i="5" s="1"/>
  <c r="O320" i="5"/>
  <c r="Q320" i="5" s="1"/>
  <c r="R320" i="5" s="1"/>
  <c r="O321" i="5"/>
  <c r="Q321" i="5" s="1"/>
  <c r="R321" i="5" s="1"/>
  <c r="K321" i="5"/>
  <c r="L321" i="5" s="1"/>
  <c r="N321" i="5" s="1"/>
  <c r="K322" i="5"/>
  <c r="L322" i="5" s="1"/>
  <c r="N322" i="5" s="1"/>
  <c r="O322" i="5"/>
  <c r="Q322" i="5" s="1"/>
  <c r="R322" i="5" s="1"/>
  <c r="K326" i="5"/>
  <c r="L326" i="5" s="1"/>
  <c r="N326" i="5" s="1"/>
  <c r="O326" i="5"/>
  <c r="Q326" i="5" s="1"/>
  <c r="R326" i="5" s="1"/>
  <c r="K269" i="5"/>
  <c r="L269" i="5" s="1"/>
  <c r="N269" i="5" s="1"/>
  <c r="O269" i="5"/>
  <c r="Q269" i="5" s="1"/>
  <c r="R269" i="5" s="1"/>
  <c r="K273" i="5"/>
  <c r="L273" i="5" s="1"/>
  <c r="N273" i="5" s="1"/>
  <c r="O273" i="5"/>
  <c r="Q273" i="5" s="1"/>
  <c r="R273" i="5" s="1"/>
  <c r="K274" i="5"/>
  <c r="L274" i="5" s="1"/>
  <c r="N274" i="5" s="1"/>
  <c r="O274" i="5"/>
  <c r="Q274" i="5" s="1"/>
  <c r="R274" i="5" s="1"/>
  <c r="K275" i="5"/>
  <c r="L275" i="5" s="1"/>
  <c r="N275" i="5" s="1"/>
  <c r="O275" i="5"/>
  <c r="Q275" i="5" s="1"/>
  <c r="R275" i="5" s="1"/>
  <c r="K276" i="5"/>
  <c r="L276" i="5" s="1"/>
  <c r="N276" i="5" s="1"/>
  <c r="O276" i="5"/>
  <c r="Q276" i="5" s="1"/>
  <c r="R276" i="5" s="1"/>
  <c r="K278" i="5"/>
  <c r="L278" i="5" s="1"/>
  <c r="N278" i="5" s="1"/>
  <c r="O278" i="5"/>
  <c r="Q278" i="5" s="1"/>
  <c r="R278" i="5" s="1"/>
  <c r="K279" i="5"/>
  <c r="L279" i="5" s="1"/>
  <c r="N279" i="5" s="1"/>
  <c r="O279" i="5"/>
  <c r="Q279" i="5" s="1"/>
  <c r="R279" i="5" s="1"/>
  <c r="K281" i="5"/>
  <c r="L281" i="5" s="1"/>
  <c r="N281" i="5" s="1"/>
  <c r="O281" i="5"/>
  <c r="Q281" i="5" s="1"/>
  <c r="R281" i="5" s="1"/>
  <c r="O294" i="5"/>
  <c r="Q294" i="5" s="1"/>
  <c r="R294" i="5" s="1"/>
  <c r="K294" i="5"/>
  <c r="L294" i="5" s="1"/>
  <c r="N294" i="5" s="1"/>
  <c r="K297" i="5"/>
  <c r="L297" i="5" s="1"/>
  <c r="N297" i="5" s="1"/>
  <c r="O297" i="5"/>
  <c r="Q297" i="5" s="1"/>
  <c r="R297" i="5" s="1"/>
  <c r="K299" i="5"/>
  <c r="L299" i="5" s="1"/>
  <c r="N299" i="5" s="1"/>
  <c r="O299" i="5"/>
  <c r="K303" i="5"/>
  <c r="L303" i="5" s="1"/>
  <c r="N303" i="5" s="1"/>
  <c r="O303" i="5"/>
  <c r="Q303" i="5" s="1"/>
  <c r="R303" i="5" s="1"/>
  <c r="K310" i="5"/>
  <c r="L310" i="5" s="1"/>
  <c r="N310" i="5" s="1"/>
  <c r="O310" i="5"/>
  <c r="Q310" i="5" s="1"/>
  <c r="R310" i="5" s="1"/>
  <c r="K311" i="5"/>
  <c r="L311" i="5" s="1"/>
  <c r="N311" i="5" s="1"/>
  <c r="O311" i="5"/>
  <c r="Q311" i="5" s="1"/>
  <c r="R311" i="5" s="1"/>
  <c r="K312" i="5"/>
  <c r="L312" i="5" s="1"/>
  <c r="N312" i="5" s="1"/>
  <c r="O312" i="5"/>
  <c r="K315" i="5"/>
  <c r="L315" i="5" s="1"/>
  <c r="N315" i="5" s="1"/>
  <c r="O315" i="5"/>
  <c r="Q315" i="5" s="1"/>
  <c r="R315" i="5" s="1"/>
  <c r="K317" i="5"/>
  <c r="L317" i="5" s="1"/>
  <c r="N317" i="5" s="1"/>
  <c r="O317" i="5"/>
  <c r="Q317" i="5" s="1"/>
  <c r="R317" i="5" s="1"/>
  <c r="K318" i="5"/>
  <c r="L318" i="5" s="1"/>
  <c r="N318" i="5" s="1"/>
  <c r="O318" i="5"/>
  <c r="Q318" i="5" s="1"/>
  <c r="R318" i="5" s="1"/>
  <c r="K324" i="5"/>
  <c r="L324" i="5" s="1"/>
  <c r="N324" i="5" s="1"/>
  <c r="O324" i="5"/>
  <c r="Q324" i="5" s="1"/>
  <c r="R324" i="5" s="1"/>
  <c r="O127" i="5"/>
  <c r="K127" i="5"/>
  <c r="L127" i="5" s="1"/>
  <c r="N127" i="5" s="1"/>
  <c r="K260" i="5"/>
  <c r="L260" i="5" s="1"/>
  <c r="N260" i="5" s="1"/>
  <c r="O260" i="5"/>
  <c r="Q260" i="5" s="1"/>
  <c r="R260" i="5" s="1"/>
  <c r="K261" i="5"/>
  <c r="L261" i="5" s="1"/>
  <c r="N261" i="5" s="1"/>
  <c r="O261" i="5"/>
  <c r="Q261" i="5" s="1"/>
  <c r="R261" i="5" s="1"/>
  <c r="K262" i="5"/>
  <c r="L262" i="5" s="1"/>
  <c r="N262" i="5" s="1"/>
  <c r="O262" i="5"/>
  <c r="Q262" i="5" s="1"/>
  <c r="R262" i="5" s="1"/>
  <c r="K264" i="5"/>
  <c r="L264" i="5" s="1"/>
  <c r="N264" i="5" s="1"/>
  <c r="O264" i="5"/>
  <c r="Q264" i="5" s="1"/>
  <c r="R264" i="5" s="1"/>
  <c r="K265" i="5"/>
  <c r="L265" i="5" s="1"/>
  <c r="N265" i="5" s="1"/>
  <c r="O265" i="5"/>
  <c r="Q265" i="5" s="1"/>
  <c r="R265" i="5" s="1"/>
  <c r="K266" i="5"/>
  <c r="L266" i="5" s="1"/>
  <c r="N266" i="5" s="1"/>
  <c r="O266" i="5"/>
  <c r="Q266" i="5" s="1"/>
  <c r="R266" i="5" s="1"/>
  <c r="O280" i="5"/>
  <c r="Q280" i="5" s="1"/>
  <c r="R280" i="5" s="1"/>
  <c r="K280" i="5"/>
  <c r="L280" i="5" s="1"/>
  <c r="N280" i="5" s="1"/>
  <c r="K282" i="5"/>
  <c r="L282" i="5" s="1"/>
  <c r="N282" i="5" s="1"/>
  <c r="O282" i="5"/>
  <c r="Q282" i="5" s="1"/>
  <c r="R282" i="5" s="1"/>
  <c r="K283" i="5"/>
  <c r="L283" i="5" s="1"/>
  <c r="N283" i="5" s="1"/>
  <c r="O283" i="5"/>
  <c r="Q283" i="5" s="1"/>
  <c r="R283" i="5" s="1"/>
  <c r="K289" i="5"/>
  <c r="L289" i="5" s="1"/>
  <c r="N289" i="5" s="1"/>
  <c r="O289" i="5"/>
  <c r="Q289" i="5" s="1"/>
  <c r="R289" i="5" s="1"/>
  <c r="K290" i="5"/>
  <c r="L290" i="5" s="1"/>
  <c r="N290" i="5" s="1"/>
  <c r="O290" i="5"/>
  <c r="Q290" i="5" s="1"/>
  <c r="R290" i="5" s="1"/>
  <c r="K291" i="5"/>
  <c r="L291" i="5" s="1"/>
  <c r="N291" i="5" s="1"/>
  <c r="O291" i="5"/>
  <c r="Q291" i="5" s="1"/>
  <c r="R291" i="5" s="1"/>
  <c r="K295" i="5"/>
  <c r="L295" i="5" s="1"/>
  <c r="N295" i="5" s="1"/>
  <c r="O295" i="5"/>
  <c r="Q295" i="5" s="1"/>
  <c r="R295" i="5" s="1"/>
  <c r="O296" i="5"/>
  <c r="Q296" i="5" s="1"/>
  <c r="R296" i="5" s="1"/>
  <c r="K296" i="5"/>
  <c r="L296" i="5" s="1"/>
  <c r="N296" i="5" s="1"/>
  <c r="O306" i="5"/>
  <c r="Q306" i="5" s="1"/>
  <c r="R306" i="5" s="1"/>
  <c r="K306" i="5"/>
  <c r="L306" i="5" s="1"/>
  <c r="N306" i="5" s="1"/>
  <c r="O307" i="5"/>
  <c r="Q307" i="5" s="1"/>
  <c r="R307" i="5" s="1"/>
  <c r="K307" i="5"/>
  <c r="L307" i="5" s="1"/>
  <c r="N307" i="5" s="1"/>
  <c r="O308" i="5"/>
  <c r="Q308" i="5" s="1"/>
  <c r="R308" i="5" s="1"/>
  <c r="K308" i="5"/>
  <c r="L308" i="5" s="1"/>
  <c r="N308" i="5" s="1"/>
  <c r="K309" i="5"/>
  <c r="L309" i="5" s="1"/>
  <c r="N309" i="5" s="1"/>
  <c r="O309" i="5"/>
  <c r="Q309" i="5" s="1"/>
  <c r="R309" i="5" s="1"/>
  <c r="K313" i="5"/>
  <c r="L313" i="5" s="1"/>
  <c r="N313" i="5" s="1"/>
  <c r="O313" i="5"/>
  <c r="Q313" i="5" s="1"/>
  <c r="R313" i="5" s="1"/>
  <c r="O316" i="5"/>
  <c r="Q316" i="5" s="1"/>
  <c r="R316" i="5" s="1"/>
  <c r="K316" i="5"/>
  <c r="L316" i="5" s="1"/>
  <c r="N316" i="5" s="1"/>
  <c r="K319" i="5"/>
  <c r="L319" i="5" s="1"/>
  <c r="N319" i="5" s="1"/>
  <c r="O319" i="5"/>
  <c r="Q319" i="5" s="1"/>
  <c r="R319" i="5" s="1"/>
  <c r="O161" i="5"/>
  <c r="Q161" i="5" s="1"/>
  <c r="R161" i="5" s="1"/>
  <c r="K161" i="5"/>
  <c r="L161" i="5" s="1"/>
  <c r="N161" i="5" s="1"/>
  <c r="O229" i="5"/>
  <c r="Q229" i="5" s="1"/>
  <c r="R229" i="5" s="1"/>
  <c r="K229" i="5"/>
  <c r="L229" i="5" s="1"/>
  <c r="N229" i="5" s="1"/>
  <c r="O231" i="5"/>
  <c r="Q231" i="5" s="1"/>
  <c r="R231" i="5" s="1"/>
  <c r="K231" i="5"/>
  <c r="L231" i="5" s="1"/>
  <c r="N231" i="5" s="1"/>
  <c r="K239" i="5"/>
  <c r="L239" i="5" s="1"/>
  <c r="N239" i="5" s="1"/>
  <c r="O239" i="5"/>
  <c r="Q239" i="5" s="1"/>
  <c r="R239" i="5" s="1"/>
  <c r="O245" i="5"/>
  <c r="Q245" i="5" s="1"/>
  <c r="R245" i="5" s="1"/>
  <c r="K245" i="5"/>
  <c r="L245" i="5" s="1"/>
  <c r="N245" i="5" s="1"/>
  <c r="O248" i="5"/>
  <c r="Q248" i="5" s="1"/>
  <c r="R248" i="5" s="1"/>
  <c r="K248" i="5"/>
  <c r="L248" i="5" s="1"/>
  <c r="N248" i="5" s="1"/>
  <c r="O249" i="5"/>
  <c r="Q249" i="5" s="1"/>
  <c r="R249" i="5" s="1"/>
  <c r="K249" i="5"/>
  <c r="L249" i="5" s="1"/>
  <c r="N249" i="5" s="1"/>
  <c r="O251" i="5"/>
  <c r="Q251" i="5" s="1"/>
  <c r="R251" i="5" s="1"/>
  <c r="K251" i="5"/>
  <c r="L251" i="5" s="1"/>
  <c r="N251" i="5" s="1"/>
  <c r="K252" i="5"/>
  <c r="L252" i="5" s="1"/>
  <c r="N252" i="5" s="1"/>
  <c r="O252" i="5"/>
  <c r="Q252" i="5" s="1"/>
  <c r="R252" i="5" s="1"/>
  <c r="O255" i="5"/>
  <c r="Q255" i="5" s="1"/>
  <c r="R255" i="5" s="1"/>
  <c r="K255" i="5"/>
  <c r="L255" i="5" s="1"/>
  <c r="N255" i="5" s="1"/>
  <c r="K257" i="5"/>
  <c r="L257" i="5" s="1"/>
  <c r="N257" i="5" s="1"/>
  <c r="O257" i="5"/>
  <c r="Q257" i="5" s="1"/>
  <c r="R257" i="5" s="1"/>
  <c r="K258" i="5"/>
  <c r="L258" i="5" s="1"/>
  <c r="N258" i="5" s="1"/>
  <c r="O258" i="5"/>
  <c r="Q258" i="5" s="1"/>
  <c r="R258" i="5" s="1"/>
  <c r="O330" i="5"/>
  <c r="Q330" i="5" s="1"/>
  <c r="R330" i="5" s="1"/>
  <c r="K330" i="5"/>
  <c r="L330" i="5" s="1"/>
  <c r="N330" i="5" s="1"/>
  <c r="O332" i="5"/>
  <c r="Q332" i="5" s="1"/>
  <c r="R332" i="5" s="1"/>
  <c r="K332" i="5"/>
  <c r="L332" i="5" s="1"/>
  <c r="N332" i="5" s="1"/>
  <c r="O335" i="5"/>
  <c r="Q335" i="5" s="1"/>
  <c r="R335" i="5" s="1"/>
  <c r="K335" i="5"/>
  <c r="L335" i="5" s="1"/>
  <c r="N335" i="5" s="1"/>
  <c r="K342" i="5"/>
  <c r="L342" i="5" s="1"/>
  <c r="N342" i="5" s="1"/>
  <c r="O342" i="5"/>
  <c r="Q342" i="5" s="1"/>
  <c r="R342" i="5" s="1"/>
  <c r="T362" i="5"/>
  <c r="T361" i="5"/>
  <c r="T360" i="5"/>
  <c r="T359" i="5"/>
  <c r="T358" i="5"/>
  <c r="T357" i="5"/>
  <c r="T356" i="5"/>
  <c r="T355" i="5"/>
  <c r="T354" i="5"/>
  <c r="T353" i="5"/>
  <c r="T352" i="5"/>
  <c r="T351" i="5"/>
  <c r="Q341" i="5"/>
  <c r="R341" i="5" s="1"/>
  <c r="Q338" i="5"/>
  <c r="R338" i="5" s="1"/>
  <c r="Q329" i="5"/>
  <c r="R329" i="5" s="1"/>
  <c r="Q302" i="5"/>
  <c r="R302" i="5" s="1"/>
  <c r="Q293" i="5"/>
  <c r="R293" i="5" s="1"/>
  <c r="Q287" i="5"/>
  <c r="R287" i="5" s="1"/>
  <c r="Q221" i="5"/>
  <c r="R221" i="5" s="1"/>
  <c r="Q206" i="5"/>
  <c r="R206" i="5" s="1"/>
  <c r="Q185" i="5"/>
  <c r="R185" i="5" s="1"/>
  <c r="Q146" i="5"/>
  <c r="R146" i="5" s="1"/>
  <c r="Q113" i="5"/>
  <c r="R113" i="5" s="1"/>
  <c r="O62" i="5"/>
  <c r="Q62" i="5" s="1"/>
  <c r="R62" i="5" s="1"/>
  <c r="K62" i="5"/>
  <c r="L62" i="5" s="1"/>
  <c r="O53" i="5"/>
  <c r="Q53" i="5" s="1"/>
  <c r="R53" i="5" s="1"/>
  <c r="K53" i="5"/>
  <c r="L53" i="5" s="1"/>
  <c r="O41" i="5"/>
  <c r="Q41" i="5" s="1"/>
  <c r="R41" i="5" s="1"/>
  <c r="K41" i="5"/>
  <c r="L41" i="5" s="1"/>
  <c r="T2" i="5"/>
  <c r="K2" i="5"/>
  <c r="L2" i="5" s="1"/>
  <c r="K3" i="5"/>
  <c r="L3" i="5" s="1"/>
  <c r="O16" i="5"/>
  <c r="Q16" i="5" s="1"/>
  <c r="R16" i="5" s="1"/>
  <c r="K54" i="5"/>
  <c r="L54" i="5" s="1"/>
  <c r="K40" i="5"/>
  <c r="L40" i="5" s="1"/>
  <c r="K76" i="5"/>
  <c r="L76" i="5" s="1"/>
  <c r="K50" i="5"/>
  <c r="L50" i="5" s="1"/>
  <c r="O4" i="5"/>
  <c r="Q4" i="5" s="1"/>
  <c r="R4" i="5" s="1"/>
  <c r="K36" i="5"/>
  <c r="L36" i="5" s="1"/>
  <c r="L24" i="5"/>
  <c r="L81" i="5"/>
  <c r="K57" i="5"/>
  <c r="L57" i="5" s="1"/>
  <c r="K45" i="5"/>
  <c r="L45" i="5" s="1"/>
  <c r="K93" i="5"/>
  <c r="L93" i="5" s="1"/>
  <c r="K69" i="5"/>
  <c r="L69" i="5" s="1"/>
  <c r="Q327" i="5"/>
  <c r="R327" i="5" s="1"/>
  <c r="Q219" i="5"/>
  <c r="R219" i="5" s="1"/>
  <c r="Q147" i="5"/>
  <c r="R147" i="5" s="1"/>
  <c r="Q111" i="5"/>
  <c r="R111" i="5" s="1"/>
  <c r="O75" i="5"/>
  <c r="Q75" i="5" s="1"/>
  <c r="R75" i="5" s="1"/>
  <c r="K75" i="5"/>
  <c r="L75" i="5" s="1"/>
  <c r="L14" i="5"/>
  <c r="L23" i="5"/>
  <c r="L13" i="5"/>
  <c r="K74" i="5"/>
  <c r="L74" i="5" s="1"/>
  <c r="K35" i="5"/>
  <c r="L35" i="5" s="1"/>
  <c r="L61" i="5"/>
  <c r="L49" i="5"/>
  <c r="L22" i="5"/>
  <c r="L12" i="5"/>
  <c r="K86" i="5"/>
  <c r="L86" i="5" s="1"/>
  <c r="K73" i="5"/>
  <c r="L73" i="5" s="1"/>
  <c r="K34" i="5"/>
  <c r="L34" i="5" s="1"/>
  <c r="L60" i="5"/>
  <c r="L48" i="5"/>
  <c r="L21" i="5"/>
  <c r="K85" i="5"/>
  <c r="L85" i="5" s="1"/>
  <c r="K72" i="5"/>
  <c r="L72" i="5" s="1"/>
  <c r="L95" i="5"/>
  <c r="L59" i="5"/>
  <c r="L47" i="5"/>
  <c r="L10" i="5"/>
  <c r="K97" i="5"/>
  <c r="L97" i="5" s="1"/>
  <c r="K84" i="5"/>
  <c r="L84" i="5" s="1"/>
  <c r="K71" i="5"/>
  <c r="L71" i="5" s="1"/>
  <c r="L94" i="5"/>
  <c r="L82" i="5"/>
  <c r="L58" i="5"/>
  <c r="L46" i="5"/>
  <c r="K96" i="5"/>
  <c r="L96" i="5" s="1"/>
  <c r="K83" i="5"/>
  <c r="L83" i="5" s="1"/>
  <c r="K70" i="5"/>
  <c r="L70" i="5" s="1"/>
  <c r="L92" i="5"/>
  <c r="L68" i="5"/>
  <c r="L56" i="5"/>
  <c r="L91" i="5"/>
  <c r="L55" i="5"/>
  <c r="L90" i="5"/>
  <c r="L89" i="5"/>
  <c r="L77" i="5"/>
  <c r="K39" i="5"/>
  <c r="L39" i="5" s="1"/>
  <c r="K15" i="5"/>
  <c r="L15" i="5" s="1"/>
  <c r="L38" i="5"/>
  <c r="L26" i="5"/>
  <c r="L37" i="5"/>
  <c r="L25" i="5"/>
  <c r="Q153" i="5"/>
  <c r="R153" i="5" s="1"/>
  <c r="Q244" i="5"/>
  <c r="R244" i="5" s="1"/>
  <c r="Q208" i="5"/>
  <c r="R208" i="5" s="1"/>
  <c r="Q100" i="5"/>
  <c r="R100" i="5" s="1"/>
  <c r="O64" i="5"/>
  <c r="Q64" i="5" s="1"/>
  <c r="R64" i="5" s="1"/>
  <c r="O28" i="5"/>
  <c r="Q28" i="5" s="1"/>
  <c r="R28" i="5" s="1"/>
  <c r="Q339" i="5"/>
  <c r="R339" i="5" s="1"/>
  <c r="Q267" i="5"/>
  <c r="R267" i="5" s="1"/>
  <c r="Q243" i="5"/>
  <c r="R243" i="5" s="1"/>
  <c r="Q207" i="5"/>
  <c r="R207" i="5" s="1"/>
  <c r="Q195" i="5"/>
  <c r="R195" i="5" s="1"/>
  <c r="Q171" i="5"/>
  <c r="R171" i="5" s="1"/>
  <c r="Q159" i="5"/>
  <c r="R159" i="5" s="1"/>
  <c r="Q135" i="5"/>
  <c r="R135" i="5" s="1"/>
  <c r="Q123" i="5"/>
  <c r="R123" i="5" s="1"/>
  <c r="O87" i="5"/>
  <c r="Q87" i="5" s="1"/>
  <c r="R87" i="5" s="1"/>
  <c r="O63" i="5"/>
  <c r="Q63" i="5" s="1"/>
  <c r="R63" i="5" s="1"/>
  <c r="O27" i="5"/>
  <c r="Q27" i="5" s="1"/>
  <c r="R27" i="5" s="1"/>
  <c r="L80" i="5"/>
  <c r="L44" i="5"/>
  <c r="L32" i="5"/>
  <c r="Q247" i="5"/>
  <c r="R247" i="5" s="1"/>
  <c r="O79" i="5"/>
  <c r="Q79" i="5" s="1"/>
  <c r="R79" i="5" s="1"/>
  <c r="L67" i="5"/>
  <c r="L43" i="5"/>
  <c r="L31" i="5"/>
  <c r="Q246" i="5"/>
  <c r="R246" i="5" s="1"/>
  <c r="Q222" i="5"/>
  <c r="R222" i="5" s="1"/>
  <c r="Q138" i="5"/>
  <c r="R138" i="5" s="1"/>
  <c r="Q102" i="5"/>
  <c r="R102" i="5" s="1"/>
  <c r="L42" i="5"/>
  <c r="L30" i="5"/>
  <c r="Q101" i="5"/>
  <c r="R101" i="5" s="1"/>
  <c r="L65" i="5"/>
  <c r="O65" i="5"/>
  <c r="Q65" i="5" s="1"/>
  <c r="R65" i="5" s="1"/>
  <c r="O29" i="5"/>
  <c r="Q29" i="5" s="1"/>
  <c r="R29" i="5" s="1"/>
  <c r="Q98" i="5"/>
  <c r="R98" i="5" s="1"/>
  <c r="O49" i="5"/>
  <c r="Q49" i="5" s="1"/>
  <c r="R49" i="5" s="1"/>
  <c r="O48" i="5"/>
  <c r="Q48" i="5" s="1"/>
  <c r="R48" i="5" s="1"/>
  <c r="O95" i="5"/>
  <c r="Q95" i="5" s="1"/>
  <c r="R95" i="5" s="1"/>
  <c r="Q250" i="5"/>
  <c r="R250" i="5" s="1"/>
  <c r="Q223" i="5"/>
  <c r="R223" i="5" s="1"/>
  <c r="Q190" i="5"/>
  <c r="R190" i="5" s="1"/>
  <c r="Q189" i="5"/>
  <c r="R189" i="5" s="1"/>
  <c r="O47" i="5"/>
  <c r="Q47" i="5" s="1"/>
  <c r="R47" i="5" s="1"/>
  <c r="Q174" i="5"/>
  <c r="R174" i="5" s="1"/>
  <c r="Q173" i="5"/>
  <c r="R173" i="5" s="1"/>
  <c r="O45" i="5"/>
  <c r="Q45" i="5" s="1"/>
  <c r="R45" i="5" s="1"/>
  <c r="O94" i="5"/>
  <c r="Q94" i="5" s="1"/>
  <c r="R94" i="5" s="1"/>
  <c r="O93" i="5"/>
  <c r="Q93" i="5" s="1"/>
  <c r="R93" i="5" s="1"/>
  <c r="O46" i="5"/>
  <c r="Q46" i="5" s="1"/>
  <c r="R46" i="5" s="1"/>
  <c r="O33" i="5"/>
  <c r="Q33" i="5" s="1"/>
  <c r="R33" i="5" s="1"/>
  <c r="Q211" i="5"/>
  <c r="R211" i="5" s="1"/>
  <c r="Q210" i="5"/>
  <c r="R210" i="5" s="1"/>
  <c r="Q209" i="5"/>
  <c r="R209" i="5" s="1"/>
  <c r="Q152" i="5"/>
  <c r="R152" i="5" s="1"/>
  <c r="Q305" i="5"/>
  <c r="R305" i="5" s="1"/>
  <c r="Q151" i="5"/>
  <c r="R151" i="5" s="1"/>
  <c r="Q188" i="5"/>
  <c r="R188" i="5" s="1"/>
  <c r="Q137" i="5"/>
  <c r="R137" i="5" s="1"/>
  <c r="O44" i="5"/>
  <c r="Q44" i="5" s="1"/>
  <c r="R44" i="5" s="1"/>
  <c r="Q236" i="5"/>
  <c r="R236" i="5" s="1"/>
  <c r="Q187" i="5"/>
  <c r="R187" i="5" s="1"/>
  <c r="Q125" i="5"/>
  <c r="R125" i="5" s="1"/>
  <c r="O43" i="5"/>
  <c r="Q43" i="5" s="1"/>
  <c r="R43" i="5" s="1"/>
  <c r="Q235" i="5"/>
  <c r="R235" i="5" s="1"/>
  <c r="Q186" i="5"/>
  <c r="R186" i="5" s="1"/>
  <c r="Q114" i="5"/>
  <c r="R114" i="5" s="1"/>
  <c r="O78" i="5"/>
  <c r="Q78" i="5" s="1"/>
  <c r="R78" i="5" s="1"/>
  <c r="Q233" i="5"/>
  <c r="R233" i="5" s="1"/>
  <c r="Q176" i="5"/>
  <c r="R176" i="5" s="1"/>
  <c r="Q104" i="5"/>
  <c r="R104" i="5" s="1"/>
  <c r="O77" i="5"/>
  <c r="Q77" i="5" s="1"/>
  <c r="R77" i="5" s="1"/>
  <c r="O31" i="5"/>
  <c r="Q31" i="5" s="1"/>
  <c r="R31" i="5" s="1"/>
  <c r="O92" i="5"/>
  <c r="Q92" i="5" s="1"/>
  <c r="R92" i="5" s="1"/>
  <c r="O91" i="5"/>
  <c r="Q91" i="5" s="1"/>
  <c r="R91" i="5" s="1"/>
  <c r="L79" i="5"/>
  <c r="O89" i="5"/>
  <c r="Q89" i="5" s="1"/>
  <c r="R89" i="5" s="1"/>
  <c r="L78" i="5"/>
  <c r="O80" i="5"/>
  <c r="Q80" i="5" s="1"/>
  <c r="R80" i="5" s="1"/>
  <c r="Q234" i="5"/>
  <c r="R234" i="5" s="1"/>
  <c r="O32" i="5"/>
  <c r="Q32" i="5" s="1"/>
  <c r="R32" i="5" s="1"/>
  <c r="L19" i="5"/>
  <c r="Q224" i="5"/>
  <c r="R224" i="5" s="1"/>
  <c r="Q175" i="5"/>
  <c r="R175" i="5" s="1"/>
  <c r="Q103" i="5"/>
  <c r="R103" i="5" s="1"/>
  <c r="O67" i="5"/>
  <c r="Q67" i="5" s="1"/>
  <c r="R67" i="5" s="1"/>
  <c r="O30" i="5"/>
  <c r="Q30" i="5" s="1"/>
  <c r="R30" i="5" s="1"/>
  <c r="Q314" i="5"/>
  <c r="R314" i="5" s="1"/>
  <c r="Q218" i="5"/>
  <c r="R218" i="5" s="1"/>
  <c r="Q350" i="5"/>
  <c r="R350" i="5" s="1"/>
  <c r="Q217" i="5"/>
  <c r="R217" i="5" s="1"/>
  <c r="Q134" i="5"/>
  <c r="R134" i="5" s="1"/>
  <c r="O97" i="5"/>
  <c r="Q97" i="5" s="1"/>
  <c r="R97" i="5" s="1"/>
  <c r="Q349" i="5"/>
  <c r="R349" i="5" s="1"/>
  <c r="Q157" i="5"/>
  <c r="R157" i="5" s="1"/>
  <c r="Q110" i="5"/>
  <c r="R110" i="5" s="1"/>
  <c r="Q325" i="5"/>
  <c r="R325" i="5" s="1"/>
  <c r="Q263" i="5"/>
  <c r="R263" i="5" s="1"/>
  <c r="Q170" i="5"/>
  <c r="R170" i="5" s="1"/>
  <c r="Q108" i="5"/>
  <c r="R108" i="5" s="1"/>
  <c r="Q337" i="5"/>
  <c r="R337" i="5" s="1"/>
  <c r="Q323" i="5"/>
  <c r="R323" i="5" s="1"/>
  <c r="Q169" i="5"/>
  <c r="R169" i="5" s="1"/>
  <c r="Q121" i="5"/>
  <c r="R121" i="5" s="1"/>
  <c r="Q107" i="5"/>
  <c r="R107" i="5" s="1"/>
  <c r="O73" i="5"/>
  <c r="Q73" i="5" s="1"/>
  <c r="R73" i="5" s="1"/>
  <c r="O25" i="5"/>
  <c r="Q25" i="5" s="1"/>
  <c r="R25" i="5" s="1"/>
  <c r="Q336" i="5"/>
  <c r="R336" i="5" s="1"/>
  <c r="Q205" i="5"/>
  <c r="R205" i="5" s="1"/>
  <c r="Q182" i="5"/>
  <c r="R182" i="5" s="1"/>
  <c r="Q167" i="5"/>
  <c r="R167" i="5" s="1"/>
  <c r="Q150" i="5"/>
  <c r="R150" i="5" s="1"/>
  <c r="Q120" i="5"/>
  <c r="R120" i="5" s="1"/>
  <c r="Q106" i="5"/>
  <c r="R106" i="5" s="1"/>
  <c r="O20" i="5"/>
  <c r="Q20" i="5" s="1"/>
  <c r="R20" i="5" s="1"/>
  <c r="Q259" i="5"/>
  <c r="R259" i="5" s="1"/>
  <c r="Q225" i="5"/>
  <c r="R225" i="5" s="1"/>
  <c r="Q197" i="5"/>
  <c r="R197" i="5" s="1"/>
  <c r="Q181" i="5"/>
  <c r="R181" i="5" s="1"/>
  <c r="Q166" i="5"/>
  <c r="R166" i="5" s="1"/>
  <c r="Q149" i="5"/>
  <c r="R149" i="5" s="1"/>
  <c r="Q119" i="5"/>
  <c r="R119" i="5" s="1"/>
  <c r="Q105" i="5"/>
  <c r="R105" i="5" s="1"/>
  <c r="O90" i="5"/>
  <c r="Q90" i="5" s="1"/>
  <c r="R90" i="5" s="1"/>
  <c r="O66" i="5"/>
  <c r="Q66" i="5" s="1"/>
  <c r="R66" i="5" s="1"/>
  <c r="O42" i="5"/>
  <c r="Q42" i="5" s="1"/>
  <c r="R42" i="5" s="1"/>
  <c r="Q158" i="5"/>
  <c r="R158" i="5" s="1"/>
  <c r="Q133" i="5"/>
  <c r="R133" i="5" s="1"/>
  <c r="Q109" i="5"/>
  <c r="R109" i="5" s="1"/>
  <c r="O26" i="5"/>
  <c r="Q26" i="5" s="1"/>
  <c r="R26" i="5" s="1"/>
  <c r="Q180" i="5"/>
  <c r="R180" i="5" s="1"/>
  <c r="Q165" i="5"/>
  <c r="R165" i="5" s="1"/>
  <c r="Q118" i="5"/>
  <c r="R118" i="5" s="1"/>
  <c r="O38" i="5"/>
  <c r="Q38" i="5" s="1"/>
  <c r="R38" i="5" s="1"/>
  <c r="Q333" i="5"/>
  <c r="R333" i="5" s="1"/>
  <c r="Q241" i="5"/>
  <c r="R241" i="5" s="1"/>
  <c r="Q193" i="5"/>
  <c r="R193" i="5" s="1"/>
  <c r="Q179" i="5"/>
  <c r="R179" i="5" s="1"/>
  <c r="Q164" i="5"/>
  <c r="R164" i="5" s="1"/>
  <c r="Q145" i="5"/>
  <c r="R145" i="5" s="1"/>
  <c r="Q117" i="5"/>
  <c r="R117" i="5" s="1"/>
  <c r="O37" i="5"/>
  <c r="Q37" i="5" s="1"/>
  <c r="R37" i="5" s="1"/>
  <c r="O14" i="5"/>
  <c r="Q14" i="5" s="1"/>
  <c r="R14" i="5" s="1"/>
  <c r="L29" i="5"/>
  <c r="Q301" i="5"/>
  <c r="R301" i="5" s="1"/>
  <c r="Q277" i="5"/>
  <c r="R277" i="5" s="1"/>
  <c r="Q192" i="5"/>
  <c r="R192" i="5" s="1"/>
  <c r="Q178" i="5"/>
  <c r="R178" i="5" s="1"/>
  <c r="Q163" i="5"/>
  <c r="R163" i="5" s="1"/>
  <c r="Q139" i="5"/>
  <c r="R139" i="5" s="1"/>
  <c r="Q116" i="5"/>
  <c r="R116" i="5" s="1"/>
  <c r="O85" i="5"/>
  <c r="Q85" i="5" s="1"/>
  <c r="R85" i="5" s="1"/>
  <c r="O61" i="5"/>
  <c r="Q61" i="5" s="1"/>
  <c r="R61" i="5" s="1"/>
  <c r="O35" i="5"/>
  <c r="Q35" i="5" s="1"/>
  <c r="R35" i="5" s="1"/>
  <c r="O13" i="5"/>
  <c r="Q13" i="5" s="1"/>
  <c r="R13" i="5" s="1"/>
  <c r="Q334" i="5"/>
  <c r="R334" i="5" s="1"/>
  <c r="O18" i="5"/>
  <c r="Q18" i="5" s="1"/>
  <c r="R18" i="5" s="1"/>
  <c r="Q331" i="5"/>
  <c r="R331" i="5" s="1"/>
  <c r="Q238" i="5"/>
  <c r="R238" i="5" s="1"/>
  <c r="Q191" i="5"/>
  <c r="R191" i="5" s="1"/>
  <c r="Q177" i="5"/>
  <c r="R177" i="5" s="1"/>
  <c r="Q162" i="5"/>
  <c r="R162" i="5" s="1"/>
  <c r="Q115" i="5"/>
  <c r="R115" i="5" s="1"/>
  <c r="O81" i="5"/>
  <c r="Q81" i="5" s="1"/>
  <c r="R81" i="5" s="1"/>
  <c r="O34" i="5"/>
  <c r="Q34" i="5" s="1"/>
  <c r="R34" i="5" s="1"/>
  <c r="O8" i="5"/>
  <c r="Q8" i="5" s="1"/>
  <c r="R8" i="5" s="1"/>
  <c r="Q172" i="5"/>
  <c r="R172" i="5" s="1"/>
  <c r="O52" i="5"/>
  <c r="Q52" i="5" s="1"/>
  <c r="R52" i="5" s="1"/>
  <c r="L52" i="5"/>
  <c r="O51" i="5"/>
  <c r="Q51" i="5" s="1"/>
  <c r="R51" i="5" s="1"/>
  <c r="L51" i="5"/>
  <c r="L64" i="5"/>
  <c r="L27" i="5"/>
  <c r="Q348" i="5"/>
  <c r="R348" i="5" s="1"/>
  <c r="Q204" i="5"/>
  <c r="R204" i="5" s="1"/>
  <c r="Q132" i="5"/>
  <c r="R132" i="5" s="1"/>
  <c r="O60" i="5"/>
  <c r="Q60" i="5" s="1"/>
  <c r="R60" i="5" s="1"/>
  <c r="O12" i="5"/>
  <c r="Q12" i="5" s="1"/>
  <c r="R12" i="5" s="1"/>
  <c r="L63" i="5"/>
  <c r="Q347" i="5"/>
  <c r="R347" i="5" s="1"/>
  <c r="Q203" i="5"/>
  <c r="R203" i="5" s="1"/>
  <c r="Q131" i="5"/>
  <c r="R131" i="5" s="1"/>
  <c r="O59" i="5"/>
  <c r="Q59" i="5" s="1"/>
  <c r="R59" i="5" s="1"/>
  <c r="O11" i="5"/>
  <c r="Q11" i="5" s="1"/>
  <c r="R11" i="5" s="1"/>
  <c r="L16" i="5"/>
  <c r="Q346" i="5"/>
  <c r="R346" i="5" s="1"/>
  <c r="Q288" i="5"/>
  <c r="R288" i="5" s="1"/>
  <c r="Q216" i="5"/>
  <c r="R216" i="5" s="1"/>
  <c r="Q202" i="5"/>
  <c r="R202" i="5" s="1"/>
  <c r="Q144" i="5"/>
  <c r="R144" i="5" s="1"/>
  <c r="Q130" i="5"/>
  <c r="R130" i="5" s="1"/>
  <c r="O72" i="5"/>
  <c r="Q72" i="5" s="1"/>
  <c r="R72" i="5" s="1"/>
  <c r="O58" i="5"/>
  <c r="Q58" i="5" s="1"/>
  <c r="R58" i="5" s="1"/>
  <c r="O10" i="5"/>
  <c r="Q10" i="5" s="1"/>
  <c r="R10" i="5" s="1"/>
  <c r="Q345" i="5"/>
  <c r="R345" i="5" s="1"/>
  <c r="Q215" i="5"/>
  <c r="R215" i="5" s="1"/>
  <c r="Q201" i="5"/>
  <c r="R201" i="5" s="1"/>
  <c r="Q143" i="5"/>
  <c r="R143" i="5" s="1"/>
  <c r="Q129" i="5"/>
  <c r="R129" i="5" s="1"/>
  <c r="O71" i="5"/>
  <c r="Q71" i="5" s="1"/>
  <c r="R71" i="5" s="1"/>
  <c r="O57" i="5"/>
  <c r="Q57" i="5" s="1"/>
  <c r="R57" i="5" s="1"/>
  <c r="O24" i="5"/>
  <c r="Q24" i="5" s="1"/>
  <c r="R24" i="5" s="1"/>
  <c r="O9" i="5"/>
  <c r="Q9" i="5" s="1"/>
  <c r="R9" i="5" s="1"/>
  <c r="L4" i="5"/>
  <c r="Q344" i="5"/>
  <c r="R344" i="5" s="1"/>
  <c r="Q300" i="5"/>
  <c r="R300" i="5" s="1"/>
  <c r="Q286" i="5"/>
  <c r="R286" i="5" s="1"/>
  <c r="Q272" i="5"/>
  <c r="R272" i="5" s="1"/>
  <c r="Q228" i="5"/>
  <c r="R228" i="5" s="1"/>
  <c r="Q214" i="5"/>
  <c r="R214" i="5" s="1"/>
  <c r="Q200" i="5"/>
  <c r="R200" i="5" s="1"/>
  <c r="Q156" i="5"/>
  <c r="R156" i="5" s="1"/>
  <c r="Q142" i="5"/>
  <c r="R142" i="5" s="1"/>
  <c r="Q128" i="5"/>
  <c r="R128" i="5" s="1"/>
  <c r="O84" i="5"/>
  <c r="Q84" i="5" s="1"/>
  <c r="R84" i="5" s="1"/>
  <c r="O70" i="5"/>
  <c r="Q70" i="5" s="1"/>
  <c r="R70" i="5" s="1"/>
  <c r="O56" i="5"/>
  <c r="Q56" i="5" s="1"/>
  <c r="R56" i="5" s="1"/>
  <c r="O23" i="5"/>
  <c r="Q23" i="5" s="1"/>
  <c r="R23" i="5" s="1"/>
  <c r="O83" i="5"/>
  <c r="Q83" i="5" s="1"/>
  <c r="R83" i="5" s="1"/>
  <c r="O69" i="5"/>
  <c r="Q69" i="5" s="1"/>
  <c r="R69" i="5" s="1"/>
  <c r="O55" i="5"/>
  <c r="Q55" i="5" s="1"/>
  <c r="R55" i="5" s="1"/>
  <c r="O22" i="5"/>
  <c r="Q22" i="5" s="1"/>
  <c r="R22" i="5" s="1"/>
  <c r="O7" i="5"/>
  <c r="Q7" i="5" s="1"/>
  <c r="R7" i="5" s="1"/>
  <c r="Q268" i="5"/>
  <c r="R268" i="5" s="1"/>
  <c r="Q232" i="5"/>
  <c r="R232" i="5" s="1"/>
  <c r="Q196" i="5"/>
  <c r="R196" i="5" s="1"/>
  <c r="Q148" i="5"/>
  <c r="R148" i="5" s="1"/>
  <c r="Q136" i="5"/>
  <c r="R136" i="5" s="1"/>
  <c r="L88" i="5"/>
  <c r="O88" i="5"/>
  <c r="Q88" i="5" s="1"/>
  <c r="R88" i="5" s="1"/>
  <c r="Q99" i="5"/>
  <c r="R99" i="5" s="1"/>
  <c r="L28" i="5"/>
  <c r="Q343" i="5"/>
  <c r="R343" i="5" s="1"/>
  <c r="Q299" i="5"/>
  <c r="R299" i="5" s="1"/>
  <c r="Q285" i="5"/>
  <c r="R285" i="5" s="1"/>
  <c r="Q271" i="5"/>
  <c r="R271" i="5" s="1"/>
  <c r="Q227" i="5"/>
  <c r="R227" i="5" s="1"/>
  <c r="Q213" i="5"/>
  <c r="R213" i="5" s="1"/>
  <c r="Q199" i="5"/>
  <c r="R199" i="5" s="1"/>
  <c r="Q155" i="5"/>
  <c r="R155" i="5" s="1"/>
  <c r="Q141" i="5"/>
  <c r="R141" i="5" s="1"/>
  <c r="Q127" i="5"/>
  <c r="R127" i="5" s="1"/>
  <c r="L87" i="5"/>
  <c r="O17" i="5"/>
  <c r="Q17" i="5" s="1"/>
  <c r="R17" i="5" s="1"/>
  <c r="L5" i="5"/>
  <c r="O5" i="5"/>
  <c r="Q5" i="5" s="1"/>
  <c r="R5" i="5" s="1"/>
  <c r="Q312" i="5"/>
  <c r="R312" i="5" s="1"/>
  <c r="Q284" i="5"/>
  <c r="R284" i="5" s="1"/>
  <c r="Q240" i="5"/>
  <c r="R240" i="5" s="1"/>
  <c r="Q226" i="5"/>
  <c r="R226" i="5" s="1"/>
  <c r="Q212" i="5"/>
  <c r="R212" i="5" s="1"/>
  <c r="Q198" i="5"/>
  <c r="R198" i="5" s="1"/>
  <c r="Q168" i="5"/>
  <c r="R168" i="5" s="1"/>
  <c r="Q126" i="5"/>
  <c r="R126" i="5" s="1"/>
  <c r="O96" i="5"/>
  <c r="Q96" i="5" s="1"/>
  <c r="R96" i="5" s="1"/>
  <c r="O82" i="5"/>
  <c r="Q82" i="5" s="1"/>
  <c r="R82" i="5" s="1"/>
  <c r="O68" i="5"/>
  <c r="Q68" i="5" s="1"/>
  <c r="R68" i="5" s="1"/>
  <c r="O36" i="5"/>
  <c r="Q36" i="5" s="1"/>
  <c r="R36" i="5" s="1"/>
  <c r="O21" i="5"/>
  <c r="Q21" i="5" s="1"/>
  <c r="R21" i="5" s="1"/>
  <c r="O6" i="5"/>
  <c r="Q6" i="5" s="1"/>
  <c r="R6" i="5" s="1"/>
  <c r="L6" i="5"/>
  <c r="L66" i="5"/>
  <c r="L11" i="5"/>
  <c r="L9" i="5"/>
  <c r="T304" i="5"/>
  <c r="T25" i="5"/>
  <c r="T292" i="5"/>
  <c r="T340" i="5"/>
  <c r="T328" i="5"/>
  <c r="T316" i="5"/>
  <c r="T312" i="5"/>
  <c r="T280" i="5"/>
  <c r="T268" i="5"/>
  <c r="T256" i="5"/>
  <c r="T244" i="5"/>
  <c r="T240" i="5"/>
  <c r="T232" i="5"/>
  <c r="T220" i="5"/>
  <c r="T341" i="5"/>
  <c r="T329" i="5"/>
  <c r="T314" i="5"/>
  <c r="T150" i="5"/>
  <c r="T350" i="5"/>
  <c r="T338" i="5"/>
  <c r="T326" i="5"/>
  <c r="T302" i="5"/>
  <c r="T290" i="5"/>
  <c r="T278" i="5"/>
  <c r="T266" i="5"/>
  <c r="T254" i="5"/>
  <c r="T242" i="5"/>
  <c r="T230" i="5"/>
  <c r="T218" i="5"/>
  <c r="T206" i="5"/>
  <c r="T336" i="5"/>
  <c r="T300" i="5"/>
  <c r="T288" i="5"/>
  <c r="T264" i="5"/>
  <c r="T216" i="5"/>
  <c r="T204" i="5"/>
  <c r="T180" i="5"/>
  <c r="T156" i="5"/>
  <c r="T60" i="5"/>
  <c r="T48" i="5"/>
  <c r="T12" i="5"/>
  <c r="T187" i="5"/>
  <c r="T171" i="5"/>
  <c r="T163" i="5"/>
  <c r="T151" i="5"/>
  <c r="T135" i="5"/>
  <c r="T123" i="5"/>
  <c r="T115" i="5"/>
  <c r="T99" i="5"/>
  <c r="T91" i="5"/>
  <c r="T79" i="5"/>
  <c r="T63" i="5"/>
  <c r="T55" i="5"/>
  <c r="T43" i="5"/>
  <c r="T19" i="5"/>
  <c r="T15" i="5"/>
  <c r="T317" i="5"/>
  <c r="T185" i="5"/>
  <c r="T173" i="5"/>
  <c r="T161" i="5"/>
  <c r="T149" i="5"/>
  <c r="T137" i="5"/>
  <c r="T125" i="5"/>
  <c r="T113" i="5"/>
  <c r="T101" i="5"/>
  <c r="T89" i="5"/>
  <c r="T77" i="5"/>
  <c r="T65" i="5"/>
  <c r="T53" i="5"/>
  <c r="T41" i="5"/>
  <c r="T29" i="5"/>
  <c r="T17" i="5"/>
  <c r="T5" i="5"/>
  <c r="T208" i="5"/>
  <c r="T348" i="5"/>
  <c r="T324" i="5"/>
  <c r="T276" i="5"/>
  <c r="T252" i="5"/>
  <c r="T228" i="5"/>
  <c r="T192" i="5"/>
  <c r="T168" i="5"/>
  <c r="T144" i="5"/>
  <c r="T36" i="5"/>
  <c r="T24" i="5"/>
  <c r="T195" i="5"/>
  <c r="T183" i="5"/>
  <c r="T175" i="5"/>
  <c r="T159" i="5"/>
  <c r="T147" i="5"/>
  <c r="T139" i="5"/>
  <c r="T127" i="5"/>
  <c r="T111" i="5"/>
  <c r="T103" i="5"/>
  <c r="T87" i="5"/>
  <c r="T75" i="5"/>
  <c r="T67" i="5"/>
  <c r="T51" i="5"/>
  <c r="T39" i="5"/>
  <c r="T27" i="5"/>
  <c r="T7" i="5"/>
  <c r="T132" i="5"/>
  <c r="T120" i="5"/>
  <c r="T108" i="5"/>
  <c r="T96" i="5"/>
  <c r="T84" i="5"/>
  <c r="T72" i="5"/>
  <c r="T194" i="5"/>
  <c r="T182" i="5"/>
  <c r="T170" i="5"/>
  <c r="T158" i="5"/>
  <c r="T146" i="5"/>
  <c r="T134" i="5"/>
  <c r="T122" i="5"/>
  <c r="T110" i="5"/>
  <c r="T98" i="5"/>
  <c r="T86" i="5"/>
  <c r="T74" i="5"/>
  <c r="T62" i="5"/>
  <c r="T50" i="5"/>
  <c r="T38" i="5"/>
  <c r="T26" i="5"/>
  <c r="T14" i="5"/>
  <c r="T346" i="5"/>
  <c r="T334" i="5"/>
  <c r="T322" i="5"/>
  <c r="T310" i="5"/>
  <c r="T298" i="5"/>
  <c r="T286" i="5"/>
  <c r="T274" i="5"/>
  <c r="T262" i="5"/>
  <c r="T250" i="5"/>
  <c r="T238" i="5"/>
  <c r="T226" i="5"/>
  <c r="T214" i="5"/>
  <c r="T202" i="5"/>
  <c r="T345" i="5"/>
  <c r="T333" i="5"/>
  <c r="T321" i="5"/>
  <c r="T309" i="5"/>
  <c r="T297" i="5"/>
  <c r="T285" i="5"/>
  <c r="T273" i="5"/>
  <c r="T261" i="5"/>
  <c r="T249" i="5"/>
  <c r="T237" i="5"/>
  <c r="T225" i="5"/>
  <c r="T213" i="5"/>
  <c r="T201" i="5"/>
  <c r="T344" i="5"/>
  <c r="T332" i="5"/>
  <c r="T320" i="5"/>
  <c r="T308" i="5"/>
  <c r="T296" i="5"/>
  <c r="T284" i="5"/>
  <c r="T272" i="5"/>
  <c r="T260" i="5"/>
  <c r="T248" i="5"/>
  <c r="T236" i="5"/>
  <c r="T224" i="5"/>
  <c r="T212" i="5"/>
  <c r="T200" i="5"/>
  <c r="T343" i="5"/>
  <c r="T331" i="5"/>
  <c r="T319" i="5"/>
  <c r="T307" i="5"/>
  <c r="T295" i="5"/>
  <c r="T283" i="5"/>
  <c r="T271" i="5"/>
  <c r="T259" i="5"/>
  <c r="T247" i="5"/>
  <c r="T235" i="5"/>
  <c r="T223" i="5"/>
  <c r="T211" i="5"/>
  <c r="T199" i="5"/>
  <c r="T342" i="5"/>
  <c r="T330" i="5"/>
  <c r="T318" i="5"/>
  <c r="T306" i="5"/>
  <c r="T294" i="5"/>
  <c r="T282" i="5"/>
  <c r="T270" i="5"/>
  <c r="T258" i="5"/>
  <c r="T246" i="5"/>
  <c r="T234" i="5"/>
  <c r="T222" i="5"/>
  <c r="T210" i="5"/>
  <c r="T198" i="5"/>
  <c r="T305" i="5"/>
  <c r="T293" i="5"/>
  <c r="T281" i="5"/>
  <c r="T269" i="5"/>
  <c r="T257" i="5"/>
  <c r="T245" i="5"/>
  <c r="T233" i="5"/>
  <c r="T221" i="5"/>
  <c r="T209" i="5"/>
  <c r="T197" i="5"/>
  <c r="T196" i="5"/>
  <c r="T184" i="5"/>
  <c r="T172" i="5"/>
  <c r="T160" i="5"/>
  <c r="T148" i="5"/>
  <c r="T136" i="5"/>
  <c r="T124" i="5"/>
  <c r="T112" i="5"/>
  <c r="T100" i="5"/>
  <c r="T88" i="5"/>
  <c r="T76" i="5"/>
  <c r="T64" i="5"/>
  <c r="T52" i="5"/>
  <c r="T40" i="5"/>
  <c r="T28" i="5"/>
  <c r="T16" i="5"/>
  <c r="T4" i="5"/>
  <c r="T191" i="5"/>
  <c r="T179" i="5"/>
  <c r="T155" i="5"/>
  <c r="T83" i="5"/>
  <c r="T347" i="5"/>
  <c r="T335" i="5"/>
  <c r="T323" i="5"/>
  <c r="T311" i="5"/>
  <c r="T299" i="5"/>
  <c r="T287" i="5"/>
  <c r="T275" i="5"/>
  <c r="T263" i="5"/>
  <c r="T251" i="5"/>
  <c r="T239" i="5"/>
  <c r="T227" i="5"/>
  <c r="T215" i="5"/>
  <c r="T203" i="5"/>
  <c r="T167" i="5"/>
  <c r="T143" i="5"/>
  <c r="T131" i="5"/>
  <c r="T119" i="5"/>
  <c r="T95" i="5"/>
  <c r="T71" i="5"/>
  <c r="T59" i="5"/>
  <c r="T11" i="5"/>
  <c r="T107" i="5"/>
  <c r="T339" i="5"/>
  <c r="T327" i="5"/>
  <c r="T315" i="5"/>
  <c r="T303" i="5"/>
  <c r="T291" i="5"/>
  <c r="T279" i="5"/>
  <c r="T267" i="5"/>
  <c r="T255" i="5"/>
  <c r="T243" i="5"/>
  <c r="T231" i="5"/>
  <c r="T219" i="5"/>
  <c r="T207" i="5"/>
  <c r="T349" i="5"/>
  <c r="T337" i="5"/>
  <c r="T325" i="5"/>
  <c r="T313" i="5"/>
  <c r="T301" i="5"/>
  <c r="T289" i="5"/>
  <c r="T277" i="5"/>
  <c r="T265" i="5"/>
  <c r="T253" i="5"/>
  <c r="T241" i="5"/>
  <c r="T229" i="5"/>
  <c r="T217" i="5"/>
  <c r="T205" i="5"/>
  <c r="T3" i="5"/>
  <c r="T47" i="5"/>
  <c r="T35" i="5"/>
  <c r="T23" i="5"/>
  <c r="T188" i="5"/>
  <c r="T176" i="5"/>
  <c r="T164" i="5"/>
  <c r="T152" i="5"/>
  <c r="T140" i="5"/>
  <c r="T128" i="5"/>
  <c r="T116" i="5"/>
  <c r="T104" i="5"/>
  <c r="T92" i="5"/>
  <c r="T80" i="5"/>
  <c r="T68" i="5"/>
  <c r="T56" i="5"/>
  <c r="T44" i="5"/>
  <c r="T32" i="5"/>
  <c r="T20" i="5"/>
  <c r="T8" i="5"/>
  <c r="T178" i="5"/>
  <c r="T169" i="5"/>
  <c r="T142" i="5"/>
  <c r="T121" i="5"/>
  <c r="T94" i="5"/>
  <c r="T82" i="5"/>
  <c r="T73" i="5"/>
  <c r="T61" i="5"/>
  <c r="T49" i="5"/>
  <c r="T34" i="5"/>
  <c r="T13" i="5"/>
  <c r="T186" i="5"/>
  <c r="T174" i="5"/>
  <c r="T162" i="5"/>
  <c r="T138" i="5"/>
  <c r="T126" i="5"/>
  <c r="T114" i="5"/>
  <c r="T102" i="5"/>
  <c r="T90" i="5"/>
  <c r="T78" i="5"/>
  <c r="T66" i="5"/>
  <c r="T54" i="5"/>
  <c r="T42" i="5"/>
  <c r="T30" i="5"/>
  <c r="T18" i="5"/>
  <c r="T6" i="5"/>
  <c r="T190" i="5"/>
  <c r="T166" i="5"/>
  <c r="T157" i="5"/>
  <c r="T130" i="5"/>
  <c r="T118" i="5"/>
  <c r="T109" i="5"/>
  <c r="T85" i="5"/>
  <c r="T70" i="5"/>
  <c r="T58" i="5"/>
  <c r="T37" i="5"/>
  <c r="T31" i="5"/>
  <c r="T22" i="5"/>
  <c r="T10" i="5"/>
  <c r="T189" i="5"/>
  <c r="T177" i="5"/>
  <c r="T165" i="5"/>
  <c r="T153" i="5"/>
  <c r="T141" i="5"/>
  <c r="T129" i="5"/>
  <c r="T117" i="5"/>
  <c r="T105" i="5"/>
  <c r="T93" i="5"/>
  <c r="T81" i="5"/>
  <c r="T69" i="5"/>
  <c r="T57" i="5"/>
  <c r="T45" i="5"/>
  <c r="T33" i="5"/>
  <c r="T21" i="5"/>
  <c r="T9" i="5"/>
  <c r="T193" i="5"/>
  <c r="T181" i="5"/>
  <c r="T154" i="5"/>
  <c r="T145" i="5"/>
  <c r="T133" i="5"/>
  <c r="T106" i="5"/>
  <c r="T97" i="5"/>
  <c r="T46" i="5"/>
  <c r="N58" i="5" l="1"/>
  <c r="N57" i="5"/>
  <c r="N42" i="5"/>
  <c r="N69" i="5"/>
  <c r="N9" i="5"/>
  <c r="N18" i="5"/>
  <c r="N93" i="5"/>
  <c r="N63" i="5"/>
  <c r="N14" i="5"/>
  <c r="N30" i="5"/>
  <c r="N16" i="5"/>
  <c r="N82" i="5"/>
  <c r="N45" i="5"/>
  <c r="N76" i="5"/>
  <c r="N56" i="5"/>
  <c r="N52" i="5"/>
  <c r="N3" i="5"/>
  <c r="N28" i="5"/>
  <c r="N51" i="5"/>
  <c r="N43" i="5"/>
  <c r="N55" i="5"/>
  <c r="N77" i="5"/>
  <c r="N29" i="5"/>
  <c r="N33" i="5"/>
  <c r="N41" i="5"/>
  <c r="N46" i="5"/>
  <c r="N75" i="5"/>
  <c r="N32" i="5"/>
  <c r="N19" i="5"/>
  <c r="N7" i="5"/>
  <c r="N34" i="5"/>
  <c r="N91" i="5"/>
  <c r="N27" i="5"/>
  <c r="N40" i="5"/>
  <c r="N79" i="5"/>
  <c r="N68" i="5"/>
  <c r="N81" i="5"/>
  <c r="N21" i="5"/>
  <c r="N65" i="5"/>
  <c r="N6" i="5"/>
  <c r="N35" i="5"/>
  <c r="N53" i="5"/>
  <c r="N78" i="5"/>
  <c r="N92" i="5"/>
  <c r="N80" i="5"/>
  <c r="N22" i="5"/>
  <c r="N64" i="5"/>
  <c r="N54" i="5"/>
  <c r="N12" i="5"/>
  <c r="N11" i="5"/>
  <c r="N39" i="5"/>
  <c r="N20" i="5"/>
  <c r="N70" i="5"/>
  <c r="N10" i="5"/>
  <c r="N66" i="5"/>
  <c r="N13" i="5"/>
  <c r="N8" i="5"/>
  <c r="N31" i="5"/>
  <c r="N17" i="5"/>
  <c r="N88" i="5"/>
  <c r="N15" i="5"/>
  <c r="N44" i="5"/>
  <c r="N67" i="5"/>
  <c r="N89" i="5"/>
  <c r="N87" i="5"/>
  <c r="N94" i="5"/>
  <c r="N97" i="5"/>
  <c r="N49" i="5"/>
  <c r="N96" i="5"/>
  <c r="N48" i="5"/>
  <c r="N95" i="5"/>
  <c r="N47" i="5"/>
  <c r="N61" i="5"/>
  <c r="N60" i="5"/>
  <c r="N59" i="5"/>
  <c r="N73" i="5"/>
  <c r="N25" i="5"/>
  <c r="N90" i="5"/>
  <c r="N72" i="5"/>
  <c r="N24" i="5"/>
  <c r="N71" i="5"/>
  <c r="N23" i="5"/>
  <c r="N85" i="5"/>
  <c r="N37" i="5"/>
  <c r="N84" i="5"/>
  <c r="N36" i="5"/>
  <c r="N83" i="5"/>
  <c r="N5" i="5"/>
  <c r="N4" i="5"/>
  <c r="N86" i="5"/>
  <c r="N74" i="5"/>
  <c r="N62" i="5"/>
  <c r="N50" i="5"/>
  <c r="N38" i="5"/>
  <c r="N26" i="5"/>
  <c r="N2" i="5"/>
  <c r="S2" i="5" s="1"/>
  <c r="F2" i="5" s="1"/>
  <c r="S122" i="5" l="1"/>
  <c r="F122" i="5" s="1"/>
  <c r="S156" i="5"/>
  <c r="F156" i="5" s="1"/>
  <c r="S116" i="5"/>
  <c r="F116" i="5" s="1"/>
  <c r="S303" i="5"/>
  <c r="F303" i="5" s="1"/>
  <c r="S320" i="5"/>
  <c r="F320" i="5" s="1"/>
  <c r="S259" i="5"/>
  <c r="F259" i="5" s="1"/>
  <c r="S243" i="5"/>
  <c r="F243" i="5" s="1"/>
  <c r="S115" i="5"/>
  <c r="F115" i="5" s="1"/>
  <c r="S294" i="5"/>
  <c r="F294" i="5" s="1"/>
  <c r="S306" i="5"/>
  <c r="F306" i="5" s="1"/>
  <c r="S229" i="5"/>
  <c r="F229" i="5" s="1"/>
  <c r="S58" i="5"/>
  <c r="F58" i="5" s="1"/>
  <c r="S84" i="5"/>
  <c r="F84" i="5" s="1"/>
  <c r="S61" i="5"/>
  <c r="F61" i="5" s="1"/>
  <c r="S343" i="5"/>
  <c r="F343" i="5" s="1"/>
  <c r="S302" i="5"/>
  <c r="F302" i="5" s="1"/>
  <c r="S290" i="5"/>
  <c r="F290" i="5" s="1"/>
  <c r="S347" i="5"/>
  <c r="F347" i="5" s="1"/>
  <c r="S195" i="5"/>
  <c r="F195" i="5" s="1"/>
  <c r="S152" i="5"/>
  <c r="F152" i="5" s="1"/>
  <c r="S334" i="5"/>
  <c r="F334" i="5" s="1"/>
  <c r="S310" i="5"/>
  <c r="F310" i="5" s="1"/>
  <c r="S184" i="5"/>
  <c r="F184" i="5" s="1"/>
  <c r="S42" i="5"/>
  <c r="F42" i="5" s="1"/>
  <c r="S146" i="5"/>
  <c r="F146" i="5" s="1"/>
  <c r="S120" i="5"/>
  <c r="F120" i="5" s="1"/>
  <c r="S145" i="5"/>
  <c r="F145" i="5" s="1"/>
  <c r="S277" i="5"/>
  <c r="F277" i="5" s="1"/>
  <c r="S296" i="5"/>
  <c r="F296" i="5" s="1"/>
  <c r="S80" i="5"/>
  <c r="F80" i="5" s="1"/>
  <c r="S264" i="5"/>
  <c r="F264" i="5" s="1"/>
  <c r="S171" i="5"/>
  <c r="F171" i="5" s="1"/>
  <c r="S128" i="5"/>
  <c r="F128" i="5" s="1"/>
  <c r="S209" i="5"/>
  <c r="F209" i="5" s="1"/>
  <c r="S168" i="5"/>
  <c r="F168" i="5" s="1"/>
  <c r="S94" i="5"/>
  <c r="F94" i="5" s="1"/>
  <c r="S272" i="5"/>
  <c r="F272" i="5" s="1"/>
  <c r="S92" i="5"/>
  <c r="F92" i="5" s="1"/>
  <c r="S187" i="5"/>
  <c r="F187" i="5" s="1"/>
  <c r="S174" i="5"/>
  <c r="F174" i="5" s="1"/>
  <c r="S7" i="5"/>
  <c r="F7" i="5" s="1"/>
  <c r="S29" i="5"/>
  <c r="F29" i="5" s="1"/>
  <c r="S247" i="5"/>
  <c r="F247" i="5" s="1"/>
  <c r="S30" i="5"/>
  <c r="F30" i="5" s="1"/>
  <c r="S125" i="5"/>
  <c r="F125" i="5" s="1"/>
  <c r="S140" i="5"/>
  <c r="F140" i="5" s="1"/>
  <c r="S26" i="5"/>
  <c r="F26" i="5" s="1"/>
  <c r="S25" i="5"/>
  <c r="F25" i="5" s="1"/>
  <c r="S317" i="5"/>
  <c r="F317" i="5" s="1"/>
  <c r="S15" i="5"/>
  <c r="F15" i="5" s="1"/>
  <c r="S345" i="5"/>
  <c r="F345" i="5" s="1"/>
  <c r="S126" i="5"/>
  <c r="F126" i="5" s="1"/>
  <c r="S186" i="5"/>
  <c r="F186" i="5" s="1"/>
  <c r="S6" i="5"/>
  <c r="F6" i="5" s="1"/>
  <c r="S255" i="5"/>
  <c r="F255" i="5" s="1"/>
  <c r="S248" i="5"/>
  <c r="F248" i="5" s="1"/>
  <c r="S176" i="5"/>
  <c r="F176" i="5" s="1"/>
  <c r="S281" i="5"/>
  <c r="F281" i="5" s="1"/>
  <c r="S38" i="5"/>
  <c r="F38" i="5" s="1"/>
  <c r="S73" i="5"/>
  <c r="F73" i="5" s="1"/>
  <c r="S123" i="5"/>
  <c r="F123" i="5" s="1"/>
  <c r="S212" i="5"/>
  <c r="F212" i="5" s="1"/>
  <c r="S20" i="5"/>
  <c r="S249" i="5"/>
  <c r="F249" i="5" s="1"/>
  <c r="S65" i="5"/>
  <c r="F65" i="5" s="1"/>
  <c r="S190" i="5"/>
  <c r="F190" i="5" s="1"/>
  <c r="S221" i="5"/>
  <c r="F221" i="5" s="1"/>
  <c r="S324" i="5"/>
  <c r="F324" i="5" s="1"/>
  <c r="S321" i="5"/>
  <c r="F321" i="5" s="1"/>
  <c r="S200" i="5"/>
  <c r="F200" i="5" s="1"/>
  <c r="S346" i="5"/>
  <c r="F346" i="5" s="1"/>
  <c r="S124" i="5"/>
  <c r="F124" i="5" s="1"/>
  <c r="S194" i="5"/>
  <c r="F194" i="5" s="1"/>
  <c r="S121" i="5"/>
  <c r="F121" i="5" s="1"/>
  <c r="S112" i="5"/>
  <c r="F112" i="5" s="1"/>
  <c r="S127" i="5"/>
  <c r="F127" i="5" s="1"/>
  <c r="S139" i="5"/>
  <c r="F139" i="5" s="1"/>
  <c r="S313" i="5"/>
  <c r="F313" i="5" s="1"/>
  <c r="S185" i="5"/>
  <c r="F185" i="5" s="1"/>
  <c r="S211" i="5"/>
  <c r="F211" i="5" s="1"/>
  <c r="S279" i="5"/>
  <c r="F279" i="5" s="1"/>
  <c r="S198" i="5"/>
  <c r="F198" i="5" s="1"/>
  <c r="S270" i="5"/>
  <c r="F270" i="5" s="1"/>
  <c r="S226" i="5"/>
  <c r="F226" i="5" s="1"/>
  <c r="S342" i="5"/>
  <c r="F342" i="5" s="1"/>
  <c r="S4" i="5"/>
  <c r="F4" i="5" s="1"/>
  <c r="S169" i="5"/>
  <c r="F169" i="5" s="1"/>
  <c r="S111" i="5"/>
  <c r="F111" i="5" s="1"/>
  <c r="S335" i="5"/>
  <c r="F335" i="5" s="1"/>
  <c r="S337" i="5"/>
  <c r="F337" i="5" s="1"/>
  <c r="S344" i="5"/>
  <c r="F344" i="5" s="1"/>
  <c r="S21" i="5"/>
  <c r="F21" i="5" s="1"/>
  <c r="S150" i="5"/>
  <c r="F150" i="5" s="1"/>
  <c r="S201" i="5"/>
  <c r="F201" i="5" s="1"/>
  <c r="S304" i="5"/>
  <c r="F304" i="5" s="1"/>
  <c r="S280" i="5"/>
  <c r="F280" i="5" s="1"/>
  <c r="S14" i="5"/>
  <c r="F14" i="5" s="1"/>
  <c r="S251" i="5"/>
  <c r="F251" i="5" s="1"/>
  <c r="S23" i="5"/>
  <c r="F23" i="5" s="1"/>
  <c r="S282" i="5"/>
  <c r="F282" i="5" s="1"/>
  <c r="S206" i="5"/>
  <c r="F206" i="5" s="1"/>
  <c r="S177" i="5"/>
  <c r="F177" i="5" s="1"/>
  <c r="S162" i="5"/>
  <c r="F162" i="5" s="1"/>
  <c r="S232" i="5"/>
  <c r="F232" i="5" s="1"/>
  <c r="S329" i="5"/>
  <c r="F329" i="5" s="1"/>
  <c r="S19" i="5"/>
  <c r="F19" i="5" s="1"/>
  <c r="S297" i="5"/>
  <c r="F297" i="5" s="1"/>
  <c r="S261" i="5"/>
  <c r="F261" i="5" s="1"/>
  <c r="S205" i="5"/>
  <c r="F205" i="5" s="1"/>
  <c r="S285" i="5"/>
  <c r="F285" i="5" s="1"/>
  <c r="S83" i="5"/>
  <c r="F83" i="5" s="1"/>
  <c r="S96" i="5"/>
  <c r="F96" i="5" s="1"/>
  <c r="S17" i="5"/>
  <c r="F17" i="5" s="1"/>
  <c r="S11" i="5"/>
  <c r="F11" i="5" s="1"/>
  <c r="S149" i="5"/>
  <c r="F149" i="5" s="1"/>
  <c r="S81" i="5"/>
  <c r="F81" i="5" s="1"/>
  <c r="S91" i="5"/>
  <c r="F91" i="5" s="1"/>
  <c r="S295" i="5"/>
  <c r="F295" i="5" s="1"/>
  <c r="S144" i="5"/>
  <c r="F144" i="5" s="1"/>
  <c r="S241" i="5"/>
  <c r="F241" i="5" s="1"/>
  <c r="S22" i="5"/>
  <c r="F22" i="5" s="1"/>
  <c r="S78" i="5"/>
  <c r="F78" i="5" s="1"/>
  <c r="S330" i="5"/>
  <c r="F330" i="5" s="1"/>
  <c r="S213" i="5"/>
  <c r="F213" i="5" s="1"/>
  <c r="S160" i="5"/>
  <c r="F160" i="5" s="1"/>
  <c r="S148" i="5"/>
  <c r="F148" i="5" s="1"/>
  <c r="S308" i="5"/>
  <c r="F308" i="5" s="1"/>
  <c r="S314" i="5"/>
  <c r="F314" i="5" s="1"/>
  <c r="S299" i="5"/>
  <c r="F299" i="5" s="1"/>
  <c r="S33" i="5"/>
  <c r="F33" i="5" s="1"/>
  <c r="S338" i="5"/>
  <c r="F338" i="5" s="1"/>
  <c r="S3" i="5"/>
  <c r="F3" i="5" s="1"/>
  <c r="S56" i="5"/>
  <c r="F56" i="5" s="1"/>
  <c r="S82" i="5"/>
  <c r="F82" i="5" s="1"/>
  <c r="S267" i="5"/>
  <c r="F267" i="5" s="1"/>
  <c r="S238" i="5"/>
  <c r="F238" i="5" s="1"/>
  <c r="S305" i="5"/>
  <c r="F305" i="5" s="1"/>
  <c r="S216" i="5"/>
  <c r="F216" i="5" s="1"/>
  <c r="S36" i="5"/>
  <c r="F36" i="5" s="1"/>
  <c r="S72" i="5"/>
  <c r="F72" i="5" s="1"/>
  <c r="S49" i="5"/>
  <c r="F49" i="5" s="1"/>
  <c r="S220" i="5"/>
  <c r="F220" i="5" s="1"/>
  <c r="S239" i="5"/>
  <c r="F239" i="5" s="1"/>
  <c r="S316" i="5"/>
  <c r="F316" i="5" s="1"/>
  <c r="S240" i="5"/>
  <c r="F240" i="5" s="1"/>
  <c r="S137" i="5"/>
  <c r="F137" i="5" s="1"/>
  <c r="S340" i="5"/>
  <c r="F340" i="5" s="1"/>
  <c r="S326" i="5"/>
  <c r="F326" i="5" s="1"/>
  <c r="S275" i="5"/>
  <c r="F275" i="5" s="1"/>
  <c r="S163" i="5"/>
  <c r="F163" i="5" s="1"/>
  <c r="S231" i="5"/>
  <c r="F231" i="5" s="1"/>
  <c r="S100" i="5"/>
  <c r="F100" i="5" s="1"/>
  <c r="S141" i="5"/>
  <c r="F141" i="5" s="1"/>
  <c r="S319" i="5"/>
  <c r="F319" i="5" s="1"/>
  <c r="S69" i="5"/>
  <c r="F69" i="5" s="1"/>
  <c r="S134" i="5"/>
  <c r="F134" i="5" s="1"/>
  <c r="S90" i="5"/>
  <c r="F90" i="5" s="1"/>
  <c r="S97" i="5"/>
  <c r="F97" i="5" s="1"/>
  <c r="S350" i="5"/>
  <c r="S165" i="5"/>
  <c r="F165" i="5" s="1"/>
  <c r="S203" i="5"/>
  <c r="F203" i="5" s="1"/>
  <c r="S224" i="5"/>
  <c r="F224" i="5" s="1"/>
  <c r="S102" i="5"/>
  <c r="F102" i="5" s="1"/>
  <c r="S147" i="5"/>
  <c r="F147" i="5" s="1"/>
  <c r="S271" i="5"/>
  <c r="F271" i="5" s="1"/>
  <c r="S325" i="5"/>
  <c r="F325" i="5" s="1"/>
  <c r="S32" i="5"/>
  <c r="F32" i="5" s="1"/>
  <c r="S51" i="5"/>
  <c r="F51" i="5" s="1"/>
  <c r="S276" i="5"/>
  <c r="F276" i="5" s="1"/>
  <c r="S214" i="5"/>
  <c r="F214" i="5" s="1"/>
  <c r="S286" i="5"/>
  <c r="F286" i="5" s="1"/>
  <c r="S311" i="5"/>
  <c r="F311" i="5" s="1"/>
  <c r="S132" i="5"/>
  <c r="F132" i="5" s="1"/>
  <c r="S109" i="5"/>
  <c r="F109" i="5" s="1"/>
  <c r="S348" i="5"/>
  <c r="F348" i="5" s="1"/>
  <c r="S67" i="5"/>
  <c r="F67" i="5" s="1"/>
  <c r="S66" i="5"/>
  <c r="F66" i="5" s="1"/>
  <c r="S227" i="5"/>
  <c r="F227" i="5" s="1"/>
  <c r="S53" i="5"/>
  <c r="F53" i="5" s="1"/>
  <c r="S223" i="5"/>
  <c r="F223" i="5" s="1"/>
  <c r="S68" i="5"/>
  <c r="F68" i="5" s="1"/>
  <c r="S204" i="5"/>
  <c r="F204" i="5" s="1"/>
  <c r="S34" i="5"/>
  <c r="F34" i="5" s="1"/>
  <c r="S258" i="5"/>
  <c r="F258" i="5" s="1"/>
  <c r="S291" i="5"/>
  <c r="F291" i="5" s="1"/>
  <c r="S289" i="5"/>
  <c r="F289" i="5" s="1"/>
  <c r="S130" i="5"/>
  <c r="F130" i="5" s="1"/>
  <c r="S323" i="5"/>
  <c r="F323" i="5" s="1"/>
  <c r="S154" i="5"/>
  <c r="F154" i="5" s="1"/>
  <c r="S18" i="5"/>
  <c r="F18" i="5" s="1"/>
  <c r="S161" i="5"/>
  <c r="F161" i="5" s="1"/>
  <c r="S158" i="5"/>
  <c r="F158" i="5" s="1"/>
  <c r="S180" i="5"/>
  <c r="F180" i="5" s="1"/>
  <c r="S157" i="5"/>
  <c r="F157" i="5" s="1"/>
  <c r="S193" i="5"/>
  <c r="F193" i="5" s="1"/>
  <c r="S44" i="5"/>
  <c r="F44" i="5" s="1"/>
  <c r="S312" i="5"/>
  <c r="F312" i="5" s="1"/>
  <c r="S288" i="5"/>
  <c r="F288" i="5" s="1"/>
  <c r="S12" i="5"/>
  <c r="F12" i="5" s="1"/>
  <c r="S307" i="5"/>
  <c r="F307" i="5" s="1"/>
  <c r="S114" i="5"/>
  <c r="F114" i="5" s="1"/>
  <c r="S252" i="5"/>
  <c r="F252" i="5" s="1"/>
  <c r="S138" i="5"/>
  <c r="F138" i="5" s="1"/>
  <c r="S75" i="5"/>
  <c r="F75" i="5" s="1"/>
  <c r="S28" i="5"/>
  <c r="F28" i="5" s="1"/>
  <c r="S269" i="5"/>
  <c r="F269" i="5" s="1"/>
  <c r="S274" i="5"/>
  <c r="F274" i="5" s="1"/>
  <c r="S189" i="5"/>
  <c r="F189" i="5" s="1"/>
  <c r="S170" i="5"/>
  <c r="F170" i="5" s="1"/>
  <c r="S37" i="5"/>
  <c r="F37" i="5" s="1"/>
  <c r="S47" i="5"/>
  <c r="F47" i="5" s="1"/>
  <c r="S273" i="5"/>
  <c r="F273" i="5" s="1"/>
  <c r="S349" i="5"/>
  <c r="F349" i="5" s="1"/>
  <c r="S70" i="5"/>
  <c r="F70" i="5" s="1"/>
  <c r="S250" i="5"/>
  <c r="F250" i="5" s="1"/>
  <c r="S332" i="5"/>
  <c r="F332" i="5" s="1"/>
  <c r="S79" i="5"/>
  <c r="F79" i="5" s="1"/>
  <c r="S327" i="5"/>
  <c r="F327" i="5" s="1"/>
  <c r="S262" i="5"/>
  <c r="F262" i="5" s="1"/>
  <c r="S142" i="5"/>
  <c r="F142" i="5" s="1"/>
  <c r="S117" i="5"/>
  <c r="F117" i="5" s="1"/>
  <c r="S235" i="5"/>
  <c r="F235" i="5" s="1"/>
  <c r="S322" i="5"/>
  <c r="F322" i="5" s="1"/>
  <c r="S208" i="5"/>
  <c r="F208" i="5" s="1"/>
  <c r="S9" i="5"/>
  <c r="F9" i="5" s="1"/>
  <c r="S182" i="5"/>
  <c r="F182" i="5" s="1"/>
  <c r="S85" i="5"/>
  <c r="F85" i="5" s="1"/>
  <c r="S95" i="5"/>
  <c r="F95" i="5" s="1"/>
  <c r="S118" i="5"/>
  <c r="F118" i="5" s="1"/>
  <c r="S88" i="5"/>
  <c r="F88" i="5" s="1"/>
  <c r="S300" i="5"/>
  <c r="F300" i="5" s="1"/>
  <c r="S159" i="5"/>
  <c r="F159" i="5" s="1"/>
  <c r="S219" i="5"/>
  <c r="F219" i="5" s="1"/>
  <c r="S328" i="5"/>
  <c r="F328" i="5" s="1"/>
  <c r="S278" i="5"/>
  <c r="F278" i="5" s="1"/>
  <c r="S284" i="5"/>
  <c r="F284" i="5" s="1"/>
  <c r="S99" i="5"/>
  <c r="F99" i="5" s="1"/>
  <c r="S77" i="5"/>
  <c r="F77" i="5" s="1"/>
  <c r="S242" i="5"/>
  <c r="F242" i="5" s="1"/>
  <c r="S57" i="5"/>
  <c r="F57" i="5" s="1"/>
  <c r="S50" i="5"/>
  <c r="F50" i="5" s="1"/>
  <c r="S133" i="5"/>
  <c r="F133" i="5" s="1"/>
  <c r="S143" i="5"/>
  <c r="F143" i="5" s="1"/>
  <c r="S339" i="5"/>
  <c r="F339" i="5" s="1"/>
  <c r="S8" i="5"/>
  <c r="F8" i="5" s="1"/>
  <c r="S39" i="5"/>
  <c r="F39" i="5" s="1"/>
  <c r="S104" i="5"/>
  <c r="F104" i="5" s="1"/>
  <c r="S217" i="5"/>
  <c r="F217" i="5" s="1"/>
  <c r="S234" i="5"/>
  <c r="F234" i="5" s="1"/>
  <c r="S256" i="5"/>
  <c r="F256" i="5" s="1"/>
  <c r="S215" i="5"/>
  <c r="F215" i="5" s="1"/>
  <c r="S336" i="5"/>
  <c r="F336" i="5" s="1"/>
  <c r="S263" i="5"/>
  <c r="F263" i="5" s="1"/>
  <c r="S341" i="5"/>
  <c r="F341" i="5" s="1"/>
  <c r="S266" i="5"/>
  <c r="F266" i="5" s="1"/>
  <c r="S265" i="5"/>
  <c r="F265" i="5" s="1"/>
  <c r="S62" i="5"/>
  <c r="F62" i="5" s="1"/>
  <c r="S181" i="5"/>
  <c r="F181" i="5" s="1"/>
  <c r="S191" i="5"/>
  <c r="F191" i="5" s="1"/>
  <c r="S210" i="5"/>
  <c r="F210" i="5" s="1"/>
  <c r="S225" i="5"/>
  <c r="F225" i="5" s="1"/>
  <c r="S298" i="5"/>
  <c r="F298" i="5" s="1"/>
  <c r="S54" i="5"/>
  <c r="F54" i="5" s="1"/>
  <c r="S197" i="5"/>
  <c r="F197" i="5" s="1"/>
  <c r="S135" i="5"/>
  <c r="F135" i="5" s="1"/>
  <c r="S40" i="5"/>
  <c r="F40" i="5" s="1"/>
  <c r="S106" i="5"/>
  <c r="F106" i="5" s="1"/>
  <c r="S237" i="5"/>
  <c r="F237" i="5" s="1"/>
  <c r="S46" i="5"/>
  <c r="F46" i="5" s="1"/>
  <c r="S166" i="5"/>
  <c r="F166" i="5" s="1"/>
  <c r="S45" i="5"/>
  <c r="F45" i="5" s="1"/>
  <c r="S202" i="5"/>
  <c r="F202" i="5" s="1"/>
  <c r="S74" i="5"/>
  <c r="F74" i="5" s="1"/>
  <c r="S5" i="5"/>
  <c r="F5" i="5" s="1"/>
  <c r="S59" i="5"/>
  <c r="F59" i="5" s="1"/>
  <c r="S48" i="5"/>
  <c r="F48" i="5" s="1"/>
  <c r="S175" i="5"/>
  <c r="F175" i="5" s="1"/>
  <c r="S318" i="5"/>
  <c r="F318" i="5" s="1"/>
  <c r="S10" i="5"/>
  <c r="F10" i="5" s="1"/>
  <c r="S64" i="5"/>
  <c r="F64" i="5" s="1"/>
  <c r="S293" i="5"/>
  <c r="F293" i="5" s="1"/>
  <c r="S101" i="5"/>
  <c r="F101" i="5" s="1"/>
  <c r="S244" i="5"/>
  <c r="F244" i="5" s="1"/>
  <c r="S27" i="5"/>
  <c r="F27" i="5" s="1"/>
  <c r="S41" i="5"/>
  <c r="F41" i="5" s="1"/>
  <c r="S55" i="5"/>
  <c r="F55" i="5" s="1"/>
  <c r="S292" i="5"/>
  <c r="F292" i="5" s="1"/>
  <c r="S183" i="5"/>
  <c r="F183" i="5" s="1"/>
  <c r="S151" i="5"/>
  <c r="F151" i="5" s="1"/>
  <c r="S86" i="5"/>
  <c r="F86" i="5" s="1"/>
  <c r="S71" i="5"/>
  <c r="F71" i="5" s="1"/>
  <c r="S155" i="5"/>
  <c r="F155" i="5" s="1"/>
  <c r="S173" i="5"/>
  <c r="F173" i="5" s="1"/>
  <c r="S87" i="5"/>
  <c r="F87" i="5" s="1"/>
  <c r="S13" i="5"/>
  <c r="F13" i="5" s="1"/>
  <c r="S246" i="5"/>
  <c r="F246" i="5" s="1"/>
  <c r="S136" i="5"/>
  <c r="F136" i="5" s="1"/>
  <c r="S35" i="5"/>
  <c r="F35" i="5" s="1"/>
  <c r="S196" i="5"/>
  <c r="F196" i="5" s="1"/>
  <c r="S113" i="5"/>
  <c r="F113" i="5" s="1"/>
  <c r="S268" i="5"/>
  <c r="F268" i="5" s="1"/>
  <c r="S233" i="5"/>
  <c r="F233" i="5" s="1"/>
  <c r="S230" i="5"/>
  <c r="F230" i="5" s="1"/>
  <c r="S43" i="5"/>
  <c r="F43" i="5" s="1"/>
  <c r="S119" i="5"/>
  <c r="F119" i="5" s="1"/>
  <c r="S52" i="5"/>
  <c r="F52" i="5" s="1"/>
  <c r="S245" i="5"/>
  <c r="F245" i="5" s="1"/>
  <c r="S178" i="5"/>
  <c r="F178" i="5" s="1"/>
  <c r="S63" i="5"/>
  <c r="F63" i="5" s="1"/>
  <c r="S331" i="5"/>
  <c r="F331" i="5" s="1"/>
  <c r="S98" i="5"/>
  <c r="F98" i="5" s="1"/>
  <c r="S131" i="5"/>
  <c r="F131" i="5" s="1"/>
  <c r="S167" i="5"/>
  <c r="F167" i="5" s="1"/>
  <c r="S60" i="5"/>
  <c r="F60" i="5" s="1"/>
  <c r="S333" i="5"/>
  <c r="F333" i="5" s="1"/>
  <c r="S89" i="5"/>
  <c r="F89" i="5" s="1"/>
  <c r="S283" i="5"/>
  <c r="F283" i="5" s="1"/>
  <c r="S199" i="5"/>
  <c r="F199" i="5" s="1"/>
  <c r="S164" i="5"/>
  <c r="F164" i="5" s="1"/>
  <c r="S110" i="5"/>
  <c r="F110" i="5" s="1"/>
  <c r="S179" i="5"/>
  <c r="F179" i="5" s="1"/>
  <c r="S24" i="5"/>
  <c r="F24" i="5" s="1"/>
  <c r="S108" i="5"/>
  <c r="F108" i="5" s="1"/>
  <c r="S192" i="5"/>
  <c r="F192" i="5" s="1"/>
  <c r="S253" i="5"/>
  <c r="F253" i="5" s="1"/>
  <c r="S236" i="5"/>
  <c r="F236" i="5" s="1"/>
  <c r="S31" i="5"/>
  <c r="F31" i="5" s="1"/>
  <c r="S103" i="5"/>
  <c r="F103" i="5" s="1"/>
  <c r="S105" i="5"/>
  <c r="F105" i="5" s="1"/>
  <c r="S129" i="5"/>
  <c r="F129" i="5" s="1"/>
  <c r="S153" i="5"/>
  <c r="F153" i="5" s="1"/>
  <c r="S315" i="5"/>
  <c r="F315" i="5" s="1"/>
  <c r="S228" i="5"/>
  <c r="F228" i="5" s="1"/>
  <c r="S218" i="5"/>
  <c r="F218" i="5" s="1"/>
  <c r="S222" i="5"/>
  <c r="F222" i="5" s="1"/>
  <c r="S207" i="5"/>
  <c r="F207" i="5" s="1"/>
  <c r="S257" i="5"/>
  <c r="F257" i="5" s="1"/>
  <c r="S188" i="5"/>
  <c r="F188" i="5" s="1"/>
  <c r="S309" i="5"/>
  <c r="F309" i="5" s="1"/>
  <c r="S107" i="5"/>
  <c r="F107" i="5" s="1"/>
  <c r="S260" i="5"/>
  <c r="F260" i="5" s="1"/>
  <c r="S172" i="5"/>
  <c r="F172" i="5" s="1"/>
  <c r="S76" i="5"/>
  <c r="F76" i="5" s="1"/>
  <c r="S16" i="5"/>
  <c r="F16" i="5" s="1"/>
  <c r="S254" i="5"/>
  <c r="F254" i="5" s="1"/>
  <c r="S93" i="5"/>
  <c r="F93" i="5" s="1"/>
  <c r="S301" i="5"/>
  <c r="F301" i="5" s="1"/>
  <c r="S287" i="5"/>
  <c r="F287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tc={2093F491-857C-41FC-A6CE-A4A93A0F4D21}</author>
    <author>tc={8C392769-69FF-4377-9264-6086E3D5681E}</author>
    <author>tc={1A6CCD81-66F2-4691-B2F1-8020171D540A}</author>
    <author>tc={FEFB6591-5D39-4728-8E03-8086BDF8A6BB}</author>
  </authors>
  <commentList>
    <comment ref="F1" authorId="0" shapeId="0" xr:uid="{2093F491-857C-41FC-A6CE-A4A93A0F4D2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Strictly follow the date format “1-Jan-2026”
Keep “-” for unused rows</t>
        </r>
      </text>
    </comment>
    <comment ref="G1" authorId="1" shapeId="0" xr:uid="{8C392769-69FF-4377-9264-6086E3D5681E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 with Mohsin the details of this before adding it. </t>
        </r>
      </text>
    </comment>
    <comment ref="H1" authorId="2" shapeId="0" xr:uid="{1A6CCD81-66F2-4691-B2F1-8020171D540A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 with Mohsin the details of this before adding it. </t>
        </r>
      </text>
    </comment>
    <comment ref="K1" authorId="3" shapeId="0" xr:uid="{FEFB6591-5D39-4728-8E03-8086BDF8A6B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Strictly keep the format as 1,000.00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tc={0C21F501-C484-4143-B99F-EABF3A2D87AC}</author>
    <author>tc={64834271-78A6-47ED-8E10-4935C63E2FAE}</author>
    <author>tc={21C8F6AE-B3DC-480A-BF2C-EC911C5ADB59}</author>
    <author>tc={83D4068B-F2C8-49EC-B1BF-4AAC16D02564}</author>
  </authors>
  <commentList>
    <comment ref="F1" authorId="0" shapeId="0" xr:uid="{0C21F501-C484-4143-B99F-EABF3A2D87A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Strictly follow the date format “1-Jan-2026”
Keep “-” for unused rows</t>
        </r>
      </text>
    </comment>
    <comment ref="G1" authorId="1" shapeId="0" xr:uid="{64834271-78A6-47ED-8E10-4935C63E2FAE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 with Mohsin the details of this before adding it. </t>
        </r>
      </text>
    </comment>
    <comment ref="H1" authorId="2" shapeId="0" xr:uid="{21C8F6AE-B3DC-480A-BF2C-EC911C5ADB59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 with Mohsin the details of this before adding it. </t>
        </r>
      </text>
    </comment>
    <comment ref="K1" authorId="3" shapeId="0" xr:uid="{83D4068B-F2C8-49EC-B1BF-4AAC16D0256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Strictly keep the format as 1,000.00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tc={333F91BD-82D2-453F-A9D7-4F79C0D99A93}</author>
    <author>tc={EFED534D-BEDC-4E24-9B18-999077BB779D}</author>
    <author>tc={D1991902-A8BB-4FBA-A50F-5DCD0C840ABF}</author>
    <author>tc={EC386774-28FD-4A95-90C5-3460DBF73F25}</author>
    <author>tc={006EC5F9-832F-44E7-A3EF-98499AE26C98}</author>
  </authors>
  <commentList>
    <comment ref="G1" authorId="0" shapeId="0" xr:uid="{333F91BD-82D2-453F-A9D7-4F79C0D99A9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Incase the Placement fee or variable amount doesn’t match with Approval letter, mark it as “Yes”. If there are no issues then Mark “No”</t>
        </r>
      </text>
    </comment>
    <comment ref="I1" authorId="1" shapeId="0" xr:uid="{EFED534D-BEDC-4E24-9B18-999077BB779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Strictly follow the date format “1-Jan-2026”</t>
        </r>
      </text>
    </comment>
    <comment ref="M1" authorId="2" shapeId="0" xr:uid="{D1991902-A8BB-4FBA-A50F-5DCD0C840AB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Strictly follow the date format “1-Jan-2026”</t>
        </r>
      </text>
    </comment>
    <comment ref="P1" authorId="3" shapeId="0" xr:uid="{EC386774-28FD-4A95-90C5-3460DBF73F2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Strictly follow the date format “1-Jan-2026”</t>
        </r>
      </text>
    </comment>
    <comment ref="Z1" authorId="4" shapeId="0" xr:uid="{006EC5F9-832F-44E7-A3EF-98499AE26C9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Strictly keep the format as 1,000.00</t>
        </r>
      </text>
    </comment>
  </commentList>
</comments>
</file>

<file path=xl/sharedStrings.xml><?xml version="1.0" encoding="utf-8"?>
<sst xmlns="http://schemas.openxmlformats.org/spreadsheetml/2006/main" count="3749" uniqueCount="1182">
  <si>
    <t>Case manager</t>
  </si>
  <si>
    <t>Malak</t>
  </si>
  <si>
    <t>Row Labels</t>
  </si>
  <si>
    <t>Count of Joining Date</t>
  </si>
  <si>
    <t>Claims Status</t>
  </si>
  <si>
    <t>Claimable</t>
  </si>
  <si>
    <t>Dina</t>
  </si>
  <si>
    <t>Dispute</t>
  </si>
  <si>
    <t>(All)</t>
  </si>
  <si>
    <t>Meaad</t>
  </si>
  <si>
    <t>Husain</t>
  </si>
  <si>
    <t>JCP/26/286008</t>
  </si>
  <si>
    <t>Zainab Mattar</t>
  </si>
  <si>
    <t>JCP/25/167732</t>
  </si>
  <si>
    <t>Mahdi</t>
  </si>
  <si>
    <t>JCP/24/095374</t>
  </si>
  <si>
    <t>Grand Total</t>
  </si>
  <si>
    <t>JCP/25/183265</t>
  </si>
  <si>
    <t>JCP/24/146053</t>
  </si>
  <si>
    <t>JCP/24/098208</t>
  </si>
  <si>
    <t>SL No.</t>
  </si>
  <si>
    <t>Ref No</t>
  </si>
  <si>
    <t>Name</t>
  </si>
  <si>
    <t>CPR</t>
  </si>
  <si>
    <t>Joining Date</t>
  </si>
  <si>
    <t>MoL</t>
  </si>
  <si>
    <t>Long MoL +3 Years</t>
  </si>
  <si>
    <t>Gender</t>
  </si>
  <si>
    <t>Education</t>
  </si>
  <si>
    <t>Salary</t>
  </si>
  <si>
    <t>Position</t>
  </si>
  <si>
    <t>Company</t>
  </si>
  <si>
    <t>Employer CR No.</t>
  </si>
  <si>
    <t>Employement Type</t>
  </si>
  <si>
    <t>Comments</t>
  </si>
  <si>
    <t>JCP/25/219615</t>
  </si>
  <si>
    <t xml:space="preserve"> HUSAIN ABDULMONEM HU  MOTHANNA</t>
  </si>
  <si>
    <t>010207910</t>
  </si>
  <si>
    <t>Yes</t>
  </si>
  <si>
    <t>Male</t>
  </si>
  <si>
    <t>High School</t>
  </si>
  <si>
    <t>Office Assistant</t>
  </si>
  <si>
    <t>ALMOAYYED CLEANING &amp; MAINTENANCE W.L.L.</t>
  </si>
  <si>
    <t>47533-1</t>
  </si>
  <si>
    <t>Full time Direct Employment</t>
  </si>
  <si>
    <t>Payment without VAT</t>
  </si>
  <si>
    <t>JCP/25/232927</t>
  </si>
  <si>
    <t>SAYED MOHAMED SAEED HASAN ALAWI</t>
  </si>
  <si>
    <t>920401961</t>
  </si>
  <si>
    <t>Bachelors +</t>
  </si>
  <si>
    <t>Sales Executive</t>
  </si>
  <si>
    <t>ALMOAYYED CONTRACTING GROUP W.L.L.</t>
  </si>
  <si>
    <t>43090-1</t>
  </si>
  <si>
    <t>JCP/25/214227</t>
  </si>
  <si>
    <t>FATEMA WALEED HASAN SHOWIATER</t>
  </si>
  <si>
    <t>020905904</t>
  </si>
  <si>
    <t>Female</t>
  </si>
  <si>
    <t>Trainee Mechanical engineer</t>
  </si>
  <si>
    <t>ALMOAYYED AIR CONDITIONING W.L.L.</t>
  </si>
  <si>
    <t>76980-1</t>
  </si>
  <si>
    <t>JCP/25/212208</t>
  </si>
  <si>
    <t>WALAA ISA A. HASAN</t>
  </si>
  <si>
    <t>990900045</t>
  </si>
  <si>
    <t>Account Manager Specialist</t>
  </si>
  <si>
    <t>Student Plaform</t>
  </si>
  <si>
    <t>127080-1</t>
  </si>
  <si>
    <t>JCP/25/223039</t>
  </si>
  <si>
    <t>SAYED ALI HASHEM E. ALQASSAB</t>
  </si>
  <si>
    <t>Driver</t>
  </si>
  <si>
    <t>SIMPLEX AL MOAYYED W.L.L</t>
  </si>
  <si>
    <t>58313-1</t>
  </si>
  <si>
    <t>JCP/25/233782</t>
  </si>
  <si>
    <t>FATEMA JAAFAR MOHAMED FARHAN</t>
  </si>
  <si>
    <t>040601854</t>
  </si>
  <si>
    <t>Sales Lady</t>
  </si>
  <si>
    <t>Femi 9</t>
  </si>
  <si>
    <t>49089-3</t>
  </si>
  <si>
    <t>JCP/25/170479</t>
  </si>
  <si>
    <t>Ali hasan Alaswami</t>
  </si>
  <si>
    <t>930904079</t>
  </si>
  <si>
    <t>Safety officer</t>
  </si>
  <si>
    <t>Rafco</t>
  </si>
  <si>
    <t>1856-1</t>
  </si>
  <si>
    <t>JCP/25/213845</t>
  </si>
  <si>
    <t>Sara Jamal Ahmed</t>
  </si>
  <si>
    <t>970303629</t>
  </si>
  <si>
    <t>Consultant</t>
  </si>
  <si>
    <t>Propel Consult</t>
  </si>
  <si>
    <t xml:space="preserve"> 75091-1</t>
  </si>
  <si>
    <t>Insourced to Service Provider</t>
  </si>
  <si>
    <t>JCP/25/170060</t>
  </si>
  <si>
    <t xml:space="preserve"> SALMAN ADEL OUN JASIM</t>
  </si>
  <si>
    <t>050201182</t>
  </si>
  <si>
    <t>DRAGON BEACH HOTEL W.L.L</t>
  </si>
  <si>
    <t>170835-2</t>
  </si>
  <si>
    <t>JCP/25/213261</t>
  </si>
  <si>
    <t>AMMAR SALEH HASAN AHMED ALI</t>
  </si>
  <si>
    <t>000305910</t>
  </si>
  <si>
    <t>Diploma</t>
  </si>
  <si>
    <t>Machine operator</t>
  </si>
  <si>
    <t>ARLA FOODS W.L.L</t>
  </si>
  <si>
    <t xml:space="preserve"> 127867-1</t>
  </si>
  <si>
    <t>JCP/25/217089</t>
  </si>
  <si>
    <t>ALI HUSAIN ABDULLA KAD FARDAN</t>
  </si>
  <si>
    <t>030400686</t>
  </si>
  <si>
    <t>Security Cum Bell Boy</t>
  </si>
  <si>
    <t xml:space="preserve">Almanzil hotel </t>
  </si>
  <si>
    <t>186174-1</t>
  </si>
  <si>
    <t>JCP/25/171258</t>
  </si>
  <si>
    <t>Noora Faqir</t>
  </si>
  <si>
    <t>930911571</t>
  </si>
  <si>
    <t xml:space="preserve">Cashier/ Sales consultant </t>
  </si>
  <si>
    <t>BAHRAIN FINANCING COMPANY</t>
  </si>
  <si>
    <t>35-10</t>
  </si>
  <si>
    <t>JCP/25/153757</t>
  </si>
  <si>
    <t>Sayed Moosa Mahdi Alawi Mohsen Ahmed</t>
  </si>
  <si>
    <t>020100868</t>
  </si>
  <si>
    <t>Electrical technician</t>
  </si>
  <si>
    <t>IOT BAHRAIN TRADING</t>
  </si>
  <si>
    <t>148642-1</t>
  </si>
  <si>
    <t>JCP/24/096845</t>
  </si>
  <si>
    <t>KARAR HUSAM ALI YATEEM</t>
  </si>
  <si>
    <t>980405866</t>
  </si>
  <si>
    <t>Partner Care agent</t>
  </si>
  <si>
    <t>NINJA SUPPORT W.L.L</t>
  </si>
  <si>
    <t>184823-1</t>
  </si>
  <si>
    <t>JCP/25/225850</t>
  </si>
  <si>
    <t>HASAN  FADHEL HASAN ISMAEEL  ALI</t>
  </si>
  <si>
    <t>970102917</t>
  </si>
  <si>
    <t>Electronic engineer</t>
  </si>
  <si>
    <t xml:space="preserve"> IOT BAHRAIN TRADING</t>
  </si>
  <si>
    <t>JCP/25/173504</t>
  </si>
  <si>
    <t>Shuaib hasan Rustam</t>
  </si>
  <si>
    <t>940205432</t>
  </si>
  <si>
    <t>Coordinator</t>
  </si>
  <si>
    <t>RAFFA INDUSTRIAL SERVICES W.L.L</t>
  </si>
  <si>
    <t>1856-2</t>
  </si>
  <si>
    <t>JCP/25/217425</t>
  </si>
  <si>
    <t>ALI SALMAN HASAN ALI</t>
  </si>
  <si>
    <t xml:space="preserve">Forklift operator </t>
  </si>
  <si>
    <t>KONEXUS ALUMINIUM INTERNATIONAL CO. W.L.L</t>
  </si>
  <si>
    <t>116589-1</t>
  </si>
  <si>
    <t xml:space="preserve"> JCP/24/047875</t>
  </si>
  <si>
    <t>AMMAR SAYED YASER SAEED MOHAMED</t>
  </si>
  <si>
    <t>960507680</t>
  </si>
  <si>
    <t>Partnership Specialist</t>
  </si>
  <si>
    <t>STUDENT PLATFORM W.L.L.</t>
  </si>
  <si>
    <t>JCP/25/229307</t>
  </si>
  <si>
    <t>Bader Abdulnabi Ebrahim</t>
  </si>
  <si>
    <t>BAHRAIN DUTY FREE CO. WLL</t>
  </si>
  <si>
    <t>119146-1</t>
  </si>
  <si>
    <t>JCP/25/174221</t>
  </si>
  <si>
    <t>فاطمه حسن الليث</t>
  </si>
  <si>
    <t>GIG</t>
  </si>
  <si>
    <t>75091-1</t>
  </si>
  <si>
    <t>JCP/25/180485</t>
  </si>
  <si>
    <t>ساره ساتر</t>
  </si>
  <si>
    <t>010306420</t>
  </si>
  <si>
    <t>Accountant</t>
  </si>
  <si>
    <t xml:space="preserve">JCP/25/194119
</t>
  </si>
  <si>
    <t>MAHDI MOHAMED MAHDI ALI</t>
  </si>
  <si>
    <t>JCP/25/178761</t>
  </si>
  <si>
    <t>MAJED MOHAMED ALI MOHSEN ZABAR</t>
  </si>
  <si>
    <t>840201451</t>
  </si>
  <si>
    <t xml:space="preserve"> Business Development Manager</t>
  </si>
  <si>
    <t>HAAND SOLUTIONS LTDA W.L.L</t>
  </si>
  <si>
    <t>167652-01</t>
  </si>
  <si>
    <t xml:space="preserve">6 Months Payment </t>
  </si>
  <si>
    <t>JCP/25/231016</t>
  </si>
  <si>
    <t>KHADIJA FAISAL ALIJASI AHMED</t>
  </si>
  <si>
    <t>020608268</t>
  </si>
  <si>
    <t>No</t>
  </si>
  <si>
    <t>FEMI 9</t>
  </si>
  <si>
    <t xml:space="preserve"> 49089-3</t>
  </si>
  <si>
    <t>JCP/25/190585</t>
  </si>
  <si>
    <t>ZAINAB MOHAMED GHULOOM ALI</t>
  </si>
  <si>
    <t>sales designer</t>
  </si>
  <si>
    <t>ALMA KITCHENS FACTORY W.L.L</t>
  </si>
  <si>
    <t>11017-10</t>
  </si>
  <si>
    <t>JCP/25/195286</t>
  </si>
  <si>
    <t>HASAN AQEEL ALI HASAN ALJESHI</t>
  </si>
  <si>
    <t>AHMED MANSOOR ALAALI</t>
  </si>
  <si>
    <t>571-2</t>
  </si>
  <si>
    <t>JCP/24/094062</t>
  </si>
  <si>
    <t>sayed ali noordeen ali</t>
  </si>
  <si>
    <t>GULF TOBACCO COMPANY. W.L.L</t>
  </si>
  <si>
    <t>145777-1</t>
  </si>
  <si>
    <t>JCP/24/142442</t>
  </si>
  <si>
    <t xml:space="preserve"> SAYED ALAA MOOSA MOHAMED FADHEL</t>
  </si>
  <si>
    <t>890704791</t>
  </si>
  <si>
    <t>Sales officer</t>
  </si>
  <si>
    <t xml:space="preserve"> MENWIN BUSINESS CONSULTANTS W.L.L</t>
  </si>
  <si>
    <t xml:space="preserve"> 163331-1</t>
  </si>
  <si>
    <t>Payment without VAT, payment done for 6 months</t>
  </si>
  <si>
    <t>JCP/25/233173</t>
  </si>
  <si>
    <t xml:space="preserve"> KHALIFA EBRAHIM K. SAAD</t>
  </si>
  <si>
    <t>Security officer</t>
  </si>
  <si>
    <t>THE K - HOTEL W.L.L</t>
  </si>
  <si>
    <t>74418-1</t>
  </si>
  <si>
    <t>JCP/25/244587</t>
  </si>
  <si>
    <t>EBRAHIM NAEEM A. MARHOON</t>
  </si>
  <si>
    <t>920801471</t>
  </si>
  <si>
    <t>Trainee- HSE officer</t>
  </si>
  <si>
    <t>payment done for 6 months</t>
  </si>
  <si>
    <t>JCP/24/147404</t>
  </si>
  <si>
    <t>ALI HAFEDH ALI BUKAMAL</t>
  </si>
  <si>
    <t>961204559</t>
  </si>
  <si>
    <t>Admin officer</t>
  </si>
  <si>
    <t>BAHRAIN INSTITUTE FOR PEARLS AND GEMSTONES (DANAT) W.L.L</t>
  </si>
  <si>
    <t xml:space="preserve"> 112090-1</t>
  </si>
  <si>
    <t>JCP/25/244921</t>
  </si>
  <si>
    <t xml:space="preserve"> Firas Ali  Abdulla</t>
  </si>
  <si>
    <t>Marketing Manager</t>
  </si>
  <si>
    <t xml:space="preserve"> 127080-1</t>
  </si>
  <si>
    <t>JCP/24/109221</t>
  </si>
  <si>
    <t>ALI GHULAM MOHAMED AMEERI</t>
  </si>
  <si>
    <t>941113825</t>
  </si>
  <si>
    <t>sales executive</t>
  </si>
  <si>
    <t>JCP/25/184255</t>
  </si>
  <si>
    <t>hasan mohamed taqi</t>
  </si>
  <si>
    <t>980308771</t>
  </si>
  <si>
    <t>Planning technician</t>
  </si>
  <si>
    <t>1856-01</t>
  </si>
  <si>
    <t>Payment without VAT, payment done for 12 months</t>
  </si>
  <si>
    <t>JCP/25/163920</t>
  </si>
  <si>
    <t xml:space="preserve"> MOHAMED ALI NAJIMO ALRAYASHI</t>
  </si>
  <si>
    <t xml:space="preserve">Engineering Aid </t>
  </si>
  <si>
    <t>JCP/25/176279</t>
  </si>
  <si>
    <t>AWADH ATEF M. ALATEF</t>
  </si>
  <si>
    <t>050915215</t>
  </si>
  <si>
    <t>worker</t>
  </si>
  <si>
    <t>Bahrain pack</t>
  </si>
  <si>
    <t>29242-01</t>
  </si>
  <si>
    <t>JCP/25/181964</t>
  </si>
  <si>
    <t xml:space="preserve"> SAMAR AMER HASAN ZAINUDDIN</t>
  </si>
  <si>
    <t>951206605</t>
  </si>
  <si>
    <t>SUPERVISOR</t>
  </si>
  <si>
    <t>CHALHOUB &amp; BUHINDI CO. W.L.L</t>
  </si>
  <si>
    <t>39216-1</t>
  </si>
  <si>
    <t>JCP/24/141182</t>
  </si>
  <si>
    <t>SAYED HASAN HAMZA HUSAIN JAAFAR</t>
  </si>
  <si>
    <t>920500820</t>
  </si>
  <si>
    <t>Adminstrator</t>
  </si>
  <si>
    <t>WE GROW CONSULTANCY</t>
  </si>
  <si>
    <t xml:space="preserve"> 117683-2</t>
  </si>
  <si>
    <t>JCP/25/229030</t>
  </si>
  <si>
    <t>JCP/25/174409</t>
  </si>
  <si>
    <t>HABIB MOHAMED A. MOHAMED</t>
  </si>
  <si>
    <t>060104546</t>
  </si>
  <si>
    <t>Worker</t>
  </si>
  <si>
    <t>UNITED PAPER INDUSTRIES</t>
  </si>
  <si>
    <t xml:space="preserve"> 29242-1</t>
  </si>
  <si>
    <t>JCP/25/154261</t>
  </si>
  <si>
    <t>HUSAIN ALI KHAMIS HAMMADI</t>
  </si>
  <si>
    <t>860602907</t>
  </si>
  <si>
    <t>Bill Collector</t>
  </si>
  <si>
    <t>ALMOAYYED CONTRACTING W.L.L.</t>
  </si>
  <si>
    <t>76979-1</t>
  </si>
  <si>
    <t>JCP/25/177104</t>
  </si>
  <si>
    <t>EBRAHIM NAZAR MANSOOR ALSAGHEER</t>
  </si>
  <si>
    <t>010105018</t>
  </si>
  <si>
    <t>Leasing Agent</t>
  </si>
  <si>
    <t>DAR AL EJAR REAL ESTATE W.L.L</t>
  </si>
  <si>
    <t>15879-5</t>
  </si>
  <si>
    <t>JCP/25/205639</t>
  </si>
  <si>
    <t>JASIM JAFFAR AHMEDAB ALBBARI</t>
  </si>
  <si>
    <t>020104227</t>
  </si>
  <si>
    <t>Salesman</t>
  </si>
  <si>
    <t>SYED JUNAID ALAM W.L.L</t>
  </si>
  <si>
    <t xml:space="preserve"> 52-6</t>
  </si>
  <si>
    <t>JCP/25/217023</t>
  </si>
  <si>
    <t>AHMED EBRAHIM KHAMIS AHMED</t>
  </si>
  <si>
    <t>060301686</t>
  </si>
  <si>
    <t>Store Associate</t>
  </si>
  <si>
    <t>HOME CENTRE B.S.C CLOSED</t>
  </si>
  <si>
    <t>17705-30</t>
  </si>
  <si>
    <t>JCP/25/167640</t>
  </si>
  <si>
    <t>SHUAIB MOHAMED REDHA MOHAMED</t>
  </si>
  <si>
    <t>050911430</t>
  </si>
  <si>
    <t>Security</t>
  </si>
  <si>
    <t>JCP/25/221888</t>
  </si>
  <si>
    <t>AHMED BAQER ISA MAHROOS</t>
  </si>
  <si>
    <t>941109259</t>
  </si>
  <si>
    <t>Project Executive</t>
  </si>
  <si>
    <t xml:space="preserve">CLAVIS EVENTS </t>
  </si>
  <si>
    <t xml:space="preserve"> 128294-1</t>
  </si>
  <si>
    <t>JCP/25/218077</t>
  </si>
  <si>
    <t>ZAHID SHARIF KHAN BAGH ABDULREHMAN</t>
  </si>
  <si>
    <t>040918890</t>
  </si>
  <si>
    <t>AL MANZIL HOTEL W.L.L</t>
  </si>
  <si>
    <t>JCP/25/195286/PMT/001</t>
  </si>
  <si>
    <t>Hasan Aqeel Aljeshi</t>
  </si>
  <si>
    <t xml:space="preserve"> AHMED MANSOOR ALAALI</t>
  </si>
  <si>
    <t>BADER ABDULNABI K. EBRAHIM</t>
  </si>
  <si>
    <t>Sales</t>
  </si>
  <si>
    <t>JCP/25/234452</t>
  </si>
  <si>
    <t>AYAH SHAFEEQ A. ABDULHUSAIN</t>
  </si>
  <si>
    <t>IRead</t>
  </si>
  <si>
    <t>79663-3</t>
  </si>
  <si>
    <t>JCP/25/207044</t>
  </si>
  <si>
    <t>SARA NASER A. ALATTAR</t>
  </si>
  <si>
    <t>-</t>
  </si>
  <si>
    <t>QA/QC</t>
  </si>
  <si>
    <t>JCP/25/229327</t>
  </si>
  <si>
    <t>FATIMA ALTUHAMI BINAASHER ALABSI</t>
  </si>
  <si>
    <t>Administrator</t>
  </si>
  <si>
    <t>Kangaroo Kids International Preschool</t>
  </si>
  <si>
    <t>183468-01</t>
  </si>
  <si>
    <t>JCP/25/245831/PMT/002</t>
  </si>
  <si>
    <t>ALI KHALIL BAQER EATMADI</t>
  </si>
  <si>
    <t xml:space="preserve"> 981100244</t>
  </si>
  <si>
    <t>yes</t>
  </si>
  <si>
    <t>Khalifa</t>
  </si>
  <si>
    <t>930207041</t>
  </si>
  <si>
    <t xml:space="preserve">Logistics Operation Specialist </t>
  </si>
  <si>
    <t>JCP/24/106751</t>
  </si>
  <si>
    <t>Zia Urrahman Fida</t>
  </si>
  <si>
    <t>990505294</t>
  </si>
  <si>
    <t>Rental Sales agent</t>
  </si>
  <si>
    <t>BIN HINDI TRANSPORT COMPANY W.L.L</t>
  </si>
  <si>
    <t>62548-1</t>
  </si>
  <si>
    <t>JCP/25/193738</t>
  </si>
  <si>
    <t>AHMED MOHAMMED ABDUL ALSHOALA</t>
  </si>
  <si>
    <t>930604547</t>
  </si>
  <si>
    <t>JCP/25/179588</t>
  </si>
  <si>
    <t>SALMAN FAISAL SALMAN SALMAN</t>
  </si>
  <si>
    <t>011100346</t>
  </si>
  <si>
    <t>Securiry officer</t>
  </si>
  <si>
    <t xml:space="preserve"> 74418-1</t>
  </si>
  <si>
    <t>JCP/25/232222</t>
  </si>
  <si>
    <t>Ali Hasan AlNoaimi</t>
  </si>
  <si>
    <t xml:space="preserve"> ENQUEST GLOBAL SERVICES LTD BRANCH OF A FOREIGN COMPANY</t>
  </si>
  <si>
    <t>187741-1</t>
  </si>
  <si>
    <t>JCP/25/190379</t>
  </si>
  <si>
    <t>HUSAIN ALI MANSOOR ALKOUS</t>
  </si>
  <si>
    <t xml:space="preserve"> 76979-1</t>
  </si>
  <si>
    <t>JCP/25/182203</t>
  </si>
  <si>
    <t>Ali Faisal Ali</t>
  </si>
  <si>
    <t>840704836</t>
  </si>
  <si>
    <t>Housing and Accomdation in charge</t>
  </si>
  <si>
    <t>JCP/25/189869</t>
  </si>
  <si>
    <t>SAYED AHMED JUMA MOHAMED HUSAIN</t>
  </si>
  <si>
    <t>990200817</t>
  </si>
  <si>
    <t>Helper</t>
  </si>
  <si>
    <t>ALMOAYYED AIR CONDENTIONING</t>
  </si>
  <si>
    <t>769800-1</t>
  </si>
  <si>
    <t xml:space="preserve">	JCP/25/253223</t>
  </si>
  <si>
    <t>ahmed  ali  alghazal</t>
  </si>
  <si>
    <t>990806782</t>
  </si>
  <si>
    <t>Healthclub supervisor</t>
  </si>
  <si>
    <t>Payment with VAT, payment done for 6 months</t>
  </si>
  <si>
    <t>JCP/25/188262</t>
  </si>
  <si>
    <t xml:space="preserve"> BAYAN YUSUF EBRAHIM ABDULRASOOL</t>
  </si>
  <si>
    <t>991209850</t>
  </si>
  <si>
    <t>Office coordinator</t>
  </si>
  <si>
    <t>JCP/24/094433</t>
  </si>
  <si>
    <t>BASMA AHMED ALI ALSHEHABI</t>
  </si>
  <si>
    <t>890701989</t>
  </si>
  <si>
    <t>Officer- client services</t>
  </si>
  <si>
    <t>BAHRAIN INSTITUTE OF PEARLS AND GEMSTONES (DANAT) W.L.L</t>
  </si>
  <si>
    <t xml:space="preserve">
JCP/25/254396</t>
  </si>
  <si>
    <t xml:space="preserve"> AQEELA MOHAMED JAAFAR AHMED ABDULLA</t>
  </si>
  <si>
    <t>950208574</t>
  </si>
  <si>
    <t xml:space="preserve">Marketing and Public relation execuitve </t>
  </si>
  <si>
    <t xml:space="preserve"> 43090-1</t>
  </si>
  <si>
    <t>JCP/25/254252</t>
  </si>
  <si>
    <t xml:space="preserve"> FADHEL ABBAS SALMAN ALGHANEM</t>
  </si>
  <si>
    <t xml:space="preserve"> 741103958</t>
  </si>
  <si>
    <t>Light Driver</t>
  </si>
  <si>
    <t>ALMOAYYED TRANSPORT</t>
  </si>
  <si>
    <t>798440-1</t>
  </si>
  <si>
    <t>JCP/25/256699</t>
  </si>
  <si>
    <t>HASAN AHMED MOHAMED FARDAN</t>
  </si>
  <si>
    <t>890807655</t>
  </si>
  <si>
    <t xml:space="preserve">Light Driver </t>
  </si>
  <si>
    <t>JCP/25/194678</t>
  </si>
  <si>
    <t>MASOOMA ABDULNABI SALMAN SALMAN</t>
  </si>
  <si>
    <t>920406467</t>
  </si>
  <si>
    <t>Sales executive</t>
  </si>
  <si>
    <t xml:space="preserve"> DAR AL EJAR REAL ESTATE W.L.L</t>
  </si>
  <si>
    <t xml:space="preserve"> JCP/25/195337</t>
  </si>
  <si>
    <t xml:space="preserve">Sayed Hasan Moos Mahdi Kadhem Salman </t>
  </si>
  <si>
    <t>020909063</t>
  </si>
  <si>
    <t>MATROOK INTERCONTINENTAL BUILDING SOLUTIONS W.L.L</t>
  </si>
  <si>
    <t xml:space="preserve"> 117877-1</t>
  </si>
  <si>
    <t>JCP/25/258923</t>
  </si>
  <si>
    <t>ALI HASANAIN SALMAN ALI EBRAHIM</t>
  </si>
  <si>
    <t>020708769</t>
  </si>
  <si>
    <t>Trainee engineer</t>
  </si>
  <si>
    <t>JCP/25/164337</t>
  </si>
  <si>
    <t>ALYA JAMAL ATEYA ALSAKRAN</t>
  </si>
  <si>
    <t>020409923</t>
  </si>
  <si>
    <t>Sales associate</t>
  </si>
  <si>
    <t>JCP/25/163851</t>
  </si>
  <si>
    <t>SAYED MUNTADHER OMRAN A. jaafar</t>
  </si>
  <si>
    <t>050507478</t>
  </si>
  <si>
    <t>SHOE MART B.S.C. - CLOSED</t>
  </si>
  <si>
    <t>17705-5</t>
  </si>
  <si>
    <t>JCP/25/261206</t>
  </si>
  <si>
    <t>KHALED WALEED ABDULHAMEED ALALAWI</t>
  </si>
  <si>
    <t>970802757</t>
  </si>
  <si>
    <t xml:space="preserve">Guest Service agent </t>
  </si>
  <si>
    <t>MUSTAFA ALI S. ALGHAZAL</t>
  </si>
  <si>
    <t>060410582</t>
  </si>
  <si>
    <t>AYMAN ABDULADHEEM ALI ALI</t>
  </si>
  <si>
    <t>020802056</t>
  </si>
  <si>
    <t xml:space="preserve">Worker </t>
  </si>
  <si>
    <t xml:space="preserve"> 571-2</t>
  </si>
  <si>
    <t>HUSAIN ABDULMONEM H. AHMED</t>
  </si>
  <si>
    <t xml:space="preserve">Office assistant </t>
  </si>
  <si>
    <t xml:space="preserve"> ALMOAYYED CLEANING &amp; MAINTENANCE W.L.L.</t>
  </si>
  <si>
    <t xml:space="preserve"> 76980-1</t>
  </si>
  <si>
    <t>JCP/25/181682</t>
  </si>
  <si>
    <t>SALEH EBRAHIM NAJI ABDULKARIM</t>
  </si>
  <si>
    <t>020502141</t>
  </si>
  <si>
    <t xml:space="preserve">Training Operations and Adminstrative specialist </t>
  </si>
  <si>
    <t>SIGMA EXPERTS FOR TRAINING AND CONSULTANCY COMPANY W.L.L</t>
  </si>
  <si>
    <t>81666-1</t>
  </si>
  <si>
    <t>JCP/25/206635</t>
  </si>
  <si>
    <t>HUSAIN ABDULNABI HASAN NASER</t>
  </si>
  <si>
    <t>040303233</t>
  </si>
  <si>
    <t xml:space="preserve">JCP/25/213845
</t>
  </si>
  <si>
    <t>JCP/25/221932</t>
  </si>
  <si>
    <t>ZAHRA ABDULGHANI I. ALMARZOOQ</t>
  </si>
  <si>
    <t>000500623</t>
  </si>
  <si>
    <t xml:space="preserve">Interior design </t>
  </si>
  <si>
    <t>CLAVIS EVENTS</t>
  </si>
  <si>
    <t>128294-1</t>
  </si>
  <si>
    <t>Payment without VAT, payment done for 6 months and 12 months</t>
  </si>
  <si>
    <t>JCP/25/219675</t>
  </si>
  <si>
    <t xml:space="preserve"> NOOR AHMED J. ALDOY</t>
  </si>
  <si>
    <t>050210696</t>
  </si>
  <si>
    <t>sales</t>
  </si>
  <si>
    <t xml:space="preserve"> SYED JUNAID ALAM W.L.L</t>
  </si>
  <si>
    <t>52-6</t>
  </si>
  <si>
    <t>KARRAR HUSAM ALI YATEEM</t>
  </si>
  <si>
    <t xml:space="preserve"> JCP/25/225850</t>
  </si>
  <si>
    <t>HASAN FADHEL HASAN ALI</t>
  </si>
  <si>
    <t>14-9-2025</t>
  </si>
  <si>
    <t>960800360</t>
  </si>
  <si>
    <t>21-9-25</t>
  </si>
  <si>
    <t xml:space="preserve"> KONEXUS ALUMINIUM INTERNATIONAL CO. W.L.L</t>
  </si>
  <si>
    <t>JCP/25/172042</t>
  </si>
  <si>
    <t>WALEED ABDULWAHID J ABDULAZIZ</t>
  </si>
  <si>
    <t>040710890</t>
  </si>
  <si>
    <t xml:space="preserve">Sales </t>
  </si>
  <si>
    <t>CENTRE POINT COLOUR</t>
  </si>
  <si>
    <t>17705-34</t>
  </si>
  <si>
    <t>JCP/24/057296</t>
  </si>
  <si>
    <t>ASMA MOHAMMAD ASHFAQMO DIN</t>
  </si>
  <si>
    <t>010706941</t>
  </si>
  <si>
    <t xml:space="preserve">Quality assurance specialist </t>
  </si>
  <si>
    <t>Konexus</t>
  </si>
  <si>
    <t>JCP/25/218398</t>
  </si>
  <si>
    <t>ZIYAD TAREQ MAJEDA ALTHAWADI</t>
  </si>
  <si>
    <t>980309620</t>
  </si>
  <si>
    <t>Bahrain Duty Free</t>
  </si>
  <si>
    <t>JCP/25/183340</t>
  </si>
  <si>
    <t>AYSHA OMAR SALEH AL ALYAZEEDI</t>
  </si>
  <si>
    <t>031103103</t>
  </si>
  <si>
    <t xml:space="preserve">119146-1 </t>
  </si>
  <si>
    <t>JCP/25/210558</t>
  </si>
  <si>
    <t>ali  abdulameer  ali ali mohamed</t>
  </si>
  <si>
    <t>990805476</t>
  </si>
  <si>
    <t>Cashier</t>
  </si>
  <si>
    <t>GRILL LAND RESTAURANT W.L.L</t>
  </si>
  <si>
    <t>121532-1</t>
  </si>
  <si>
    <t>JCP/25/267702</t>
  </si>
  <si>
    <t xml:space="preserve"> ABBAS AHMED A ALHANNAN</t>
  </si>
  <si>
    <t>920305890</t>
  </si>
  <si>
    <t>Dispatcher</t>
  </si>
  <si>
    <t>Manama Steels</t>
  </si>
  <si>
    <t>103226-1</t>
  </si>
  <si>
    <t>JCP/25/267727</t>
  </si>
  <si>
    <t>MAYTHAM MOHAMED JAAFAR A. MOHAMED ALI</t>
  </si>
  <si>
    <t>910601313</t>
  </si>
  <si>
    <t>JCP/25/204298</t>
  </si>
  <si>
    <t>ABDULLA MOHAMED HOORAN MOHAMED AWAD ALENEZI</t>
  </si>
  <si>
    <t>000811084</t>
  </si>
  <si>
    <t>JCP/26/268524</t>
  </si>
  <si>
    <t>LULWA EZZ EBRAHIM ABDULAZIZ RASHED ALBANKI</t>
  </si>
  <si>
    <t>970409397</t>
  </si>
  <si>
    <t>JCP/26/268505</t>
  </si>
  <si>
    <t>YUSUF ALI YUSUF HABIB DAGHER</t>
  </si>
  <si>
    <t>041001389</t>
  </si>
  <si>
    <t>JCP/26/268879</t>
  </si>
  <si>
    <t xml:space="preserve"> MERZA JAMEEL MIRZA ALARADI</t>
  </si>
  <si>
    <t>961006579</t>
  </si>
  <si>
    <t>JCP/26/268526</t>
  </si>
  <si>
    <t>AHMED WAHEED AKHTAR M. ALI</t>
  </si>
  <si>
    <t>020302720</t>
  </si>
  <si>
    <t>JCP/25/219711</t>
  </si>
  <si>
    <t>FATIMA HASAN ABDULLA BUHMAID</t>
  </si>
  <si>
    <t>990701140</t>
  </si>
  <si>
    <t>JCP/25/233228</t>
  </si>
  <si>
    <t>SYED HAMID NAZIR HUSSAIN SHAH PIRZAMAN SHAH</t>
  </si>
  <si>
    <t>020515189</t>
  </si>
  <si>
    <t xml:space="preserve">Harmony Music Gate </t>
  </si>
  <si>
    <t>50358-1</t>
  </si>
  <si>
    <t>JCP/25/262810</t>
  </si>
  <si>
    <t>GHASSAN ABDULLA MAHDI MAHDI</t>
  </si>
  <si>
    <t>861203992</t>
  </si>
  <si>
    <t>Senior Accountant</t>
  </si>
  <si>
    <t>Naseef</t>
  </si>
  <si>
    <t>22729-5</t>
  </si>
  <si>
    <t>JCP/26/283826</t>
  </si>
  <si>
    <t xml:space="preserve"> Ali Husain  Seroor</t>
  </si>
  <si>
    <t>941100049</t>
  </si>
  <si>
    <t xml:space="preserve">Technician </t>
  </si>
  <si>
    <t>Old School Garage</t>
  </si>
  <si>
    <t>94591-1</t>
  </si>
  <si>
    <t>Payment with VAT</t>
  </si>
  <si>
    <t>JCP/25/171059</t>
  </si>
  <si>
    <t>ZAINAB  NASER MOHAMED MAHMOOD ALALWAANI</t>
  </si>
  <si>
    <t>980602564</t>
  </si>
  <si>
    <t>CHALHOUS &amp; BI,,HINDI W.L.L.</t>
  </si>
  <si>
    <t>JCP/25/171458</t>
  </si>
  <si>
    <t>HUSAIN MUSTAFA ALI ALMAJED</t>
  </si>
  <si>
    <t>940101645</t>
  </si>
  <si>
    <t>STOREKEEPER</t>
  </si>
  <si>
    <t>JCP/25/223860</t>
  </si>
  <si>
    <t>duaa ahmedhisham t bintin</t>
  </si>
  <si>
    <t xml:space="preserve">Marketing Execituve </t>
  </si>
  <si>
    <t>AHMED MANSOOR AL-ALI BSC</t>
  </si>
  <si>
    <t>JCP/25/258736</t>
  </si>
  <si>
    <t>Hasan Abdulnabi Tarada</t>
  </si>
  <si>
    <t>991209095</t>
  </si>
  <si>
    <t>Auditor</t>
  </si>
  <si>
    <t>Sayed Junaid Alam</t>
  </si>
  <si>
    <t>52-1</t>
  </si>
  <si>
    <t>JCP/24/120499</t>
  </si>
  <si>
    <t>MUSTAFA ABDULHAMEED QA  HUSAIN</t>
  </si>
  <si>
    <t>990200094</t>
  </si>
  <si>
    <t>ICT Specialist</t>
  </si>
  <si>
    <t>Total Reliance for Construction, Trade and Consultancy</t>
  </si>
  <si>
    <t>170032-1</t>
  </si>
  <si>
    <t>Zainab Almaroom</t>
  </si>
  <si>
    <t>JCP/25/262077</t>
  </si>
  <si>
    <t>MAHMOOD JAAFAR ABDULLA JASIM MOHAMED</t>
  </si>
  <si>
    <t>Front DEsk</t>
  </si>
  <si>
    <t>WPA BAHRAIN SPORTS W.L.L</t>
  </si>
  <si>
    <t>175641-1</t>
  </si>
  <si>
    <t xml:space="preserve"> JCP/26/283681</t>
  </si>
  <si>
    <t xml:space="preserve"> Shooq Muneer Maaroof</t>
  </si>
  <si>
    <t>950401706</t>
  </si>
  <si>
    <t>Secertary</t>
  </si>
  <si>
    <t>JCP/26/271188</t>
  </si>
  <si>
    <t>AMINA AYMAN S. NAJEM</t>
  </si>
  <si>
    <t>010206191</t>
  </si>
  <si>
    <t>Marketing Specialist</t>
  </si>
  <si>
    <t>Serious Duck</t>
  </si>
  <si>
    <t>160782-1</t>
  </si>
  <si>
    <t>JCP/25/229821</t>
  </si>
  <si>
    <t>BAYAN ADEL J. ALARAYEDH</t>
  </si>
  <si>
    <t>010500308</t>
  </si>
  <si>
    <t>JCP/25/208891</t>
  </si>
  <si>
    <t>SAYED JAAFAR EBRAHIM JAAFAR NEMAA</t>
  </si>
  <si>
    <t>000804800</t>
  </si>
  <si>
    <t xml:space="preserve">Junior Electrical engineer </t>
  </si>
  <si>
    <t>JCP/25/169005</t>
  </si>
  <si>
    <t>YASER SALMAN EBRAHIM MAHDI</t>
  </si>
  <si>
    <t>Forklift driver</t>
  </si>
  <si>
    <t>JCP/26/284939</t>
  </si>
  <si>
    <t>Mariam Samir Ali</t>
  </si>
  <si>
    <t>931200571</t>
  </si>
  <si>
    <t>Business Development Manager</t>
  </si>
  <si>
    <t>JCP/26/269393</t>
  </si>
  <si>
    <t>FATEMA HASAN JASIM HASAN AHMED</t>
  </si>
  <si>
    <t>990509540</t>
  </si>
  <si>
    <t>JCP/25/181038</t>
  </si>
  <si>
    <t xml:space="preserve">Hessa al doserri </t>
  </si>
  <si>
    <t>001004310</t>
  </si>
  <si>
    <t>HR officer</t>
  </si>
  <si>
    <t>Braxtone insurance</t>
  </si>
  <si>
    <t>169147-1</t>
  </si>
  <si>
    <t>JCP/26/284947</t>
  </si>
  <si>
    <t>MARYAM MOHAMED A. ALMUQAHWI</t>
  </si>
  <si>
    <t>031110681</t>
  </si>
  <si>
    <t>Computer Systems Analyst</t>
  </si>
  <si>
    <t>BLOX COMPUTER CONSULTENCIES W.L.L</t>
  </si>
  <si>
    <t>37278-3</t>
  </si>
  <si>
    <t>JCP/26/286460</t>
  </si>
  <si>
    <t>Sharifa Abdulrazzaq Hasan</t>
  </si>
  <si>
    <t>veterinarian</t>
  </si>
  <si>
    <t>Animalia by Yara</t>
  </si>
  <si>
    <t>166663-1</t>
  </si>
  <si>
    <t>JCP/26/286051</t>
  </si>
  <si>
    <t>Fatima Mukhtar</t>
  </si>
  <si>
    <t>Teacher</t>
  </si>
  <si>
    <t>New Vision School,</t>
  </si>
  <si>
    <t>710474-1</t>
  </si>
  <si>
    <t>JCP/26/286053</t>
  </si>
  <si>
    <t>MARYAM A.JALIL ABDULLA HASAN ABDULLA SARHAN</t>
  </si>
  <si>
    <t>JCP/26/286885</t>
  </si>
  <si>
    <t>Naba Zuhair AlElaiwat</t>
  </si>
  <si>
    <t>Receptionist</t>
  </si>
  <si>
    <t>YARA MEDICAL HOSPITALIA W.L.L</t>
  </si>
  <si>
    <t>JCP/26/286809</t>
  </si>
  <si>
    <t>Ameera Husain Hamad</t>
  </si>
  <si>
    <t>Recruitment Specialist</t>
  </si>
  <si>
    <t>Hire Fellows</t>
  </si>
  <si>
    <t>189727-1</t>
  </si>
  <si>
    <t>JCP/26/288742</t>
  </si>
  <si>
    <t>SAKINA ALI</t>
  </si>
  <si>
    <t xml:space="preserve">041002652
</t>
  </si>
  <si>
    <t>M F ABAYAT</t>
  </si>
  <si>
    <t>187913-1</t>
  </si>
  <si>
    <t>JCP/26/288724</t>
  </si>
  <si>
    <t>السيد جعفر ناصر</t>
  </si>
  <si>
    <t>920401333</t>
  </si>
  <si>
    <t>BINT AL-SARRAJ JEWELRY</t>
  </si>
  <si>
    <t>142007-1</t>
  </si>
  <si>
    <t>JCP/26/283470</t>
  </si>
  <si>
    <t>ALI HUSAIN SAEED ABDULWAHAB ALRADHI</t>
  </si>
  <si>
    <t>Equipment Operator</t>
  </si>
  <si>
    <t>JCP/26/283404</t>
  </si>
  <si>
    <t>Kadhem Ahmed Kadhem</t>
  </si>
  <si>
    <t>030610478</t>
  </si>
  <si>
    <t>JCP/26/283447</t>
  </si>
  <si>
    <t>ALI ABDULREDHA AHMED KHORRAMI</t>
  </si>
  <si>
    <t>Shift Lead</t>
  </si>
  <si>
    <t>JCP/26/283488</t>
  </si>
  <si>
    <t>Ali maki Abbas</t>
  </si>
  <si>
    <t>26/288849</t>
  </si>
  <si>
    <t>FATEMA JASIM AHMED SALEH</t>
  </si>
  <si>
    <t>Design Sales Executive</t>
  </si>
  <si>
    <t>FATIMA ALANSARI DESIGN AND EXECUTION WLL</t>
  </si>
  <si>
    <t>101037-1</t>
  </si>
  <si>
    <t>26/289712</t>
  </si>
  <si>
    <t>Maryam Abbas Ahmed Ebrahim Abdulla Almeftah</t>
  </si>
  <si>
    <t>011010339</t>
  </si>
  <si>
    <t>Marketing Executive</t>
  </si>
  <si>
    <t>TOTAL RELIANCE FOR CONSTRUCTION, TRADE AND CONSULTANCY</t>
  </si>
  <si>
    <t>JCP/24/145750</t>
  </si>
  <si>
    <t>MOHAMED AHMED ALI AHMED HUSAIN</t>
  </si>
  <si>
    <t xml:space="preserve">Machine Operator </t>
  </si>
  <si>
    <t>127867-1</t>
  </si>
  <si>
    <t>JCP/25/217083</t>
  </si>
  <si>
    <t>REEMA ARSALAN JASIM ARAYEDH</t>
  </si>
  <si>
    <t>030903726</t>
  </si>
  <si>
    <t xml:space="preserve">HR Adminstrator </t>
  </si>
  <si>
    <t>24/049470</t>
  </si>
  <si>
    <t>HASAN MAHDI NASER ALKHABBAZ</t>
  </si>
  <si>
    <t>Heavy Driver</t>
  </si>
  <si>
    <t>Almoayyed Transport</t>
  </si>
  <si>
    <t>79844-1</t>
  </si>
  <si>
    <t>26/289720</t>
  </si>
  <si>
    <t>ALI MAHROOS</t>
  </si>
  <si>
    <t>26/288557</t>
  </si>
  <si>
    <t>KAWTHAR HUSAIN MAKI A DEKHEEL</t>
  </si>
  <si>
    <t>020600844</t>
  </si>
  <si>
    <t xml:space="preserve">Training Cordenator </t>
  </si>
  <si>
    <t>PULSE HEALTH TRAINING CENTER W.L.L</t>
  </si>
  <si>
    <t>98693-1</t>
  </si>
  <si>
    <t>JCP/25/264921</t>
  </si>
  <si>
    <t>Maryam Akbar Murad</t>
  </si>
  <si>
    <t>000700010</t>
  </si>
  <si>
    <t>Sales Development Representative</t>
  </si>
  <si>
    <t>AMAN COMPLIANCE SOLUTIONS W.L.L</t>
  </si>
  <si>
    <t>172967-1</t>
  </si>
  <si>
    <t>JCP/25/180026</t>
  </si>
  <si>
    <t>Yusuf Ebrahim Yusuf Ahmed Fulad</t>
  </si>
  <si>
    <t>JCP/26/285439</t>
  </si>
  <si>
    <t>Sayed Mohammed ALI Albahraini</t>
  </si>
  <si>
    <t>JCP/24/145581</t>
  </si>
  <si>
    <t>JASIM MOHAMED SALEH SALEH</t>
  </si>
  <si>
    <t>StoreKeeper</t>
  </si>
  <si>
    <t>JCP/25/223037</t>
  </si>
  <si>
    <t>JAAFAR KADHEM HUSAIN HABIB KADHEM ALJABOORI</t>
  </si>
  <si>
    <t>021107238</t>
  </si>
  <si>
    <t>Husain Hasan Ali</t>
  </si>
  <si>
    <t>001209477</t>
  </si>
  <si>
    <t>JCP/26/283442</t>
  </si>
  <si>
    <t>HUSAIN EBRAHIM JASIM EBRAHIM</t>
  </si>
  <si>
    <t xml:space="preserve">Forrklift Operator </t>
  </si>
  <si>
    <t>JCP/25/263373</t>
  </si>
  <si>
    <t>hasan husain ebrahim</t>
  </si>
  <si>
    <t>000303356</t>
  </si>
  <si>
    <t xml:space="preserve">Pallet Truck Operator </t>
  </si>
  <si>
    <t>JCP/26/285998</t>
  </si>
  <si>
    <t>HASAN ABDULZAHRA ASHO DHABAAN</t>
  </si>
  <si>
    <t>010601260</t>
  </si>
  <si>
    <t>JCP/25/264214</t>
  </si>
  <si>
    <t>FOZAN KHAN MANZOOR Ali MUZAFFAR</t>
  </si>
  <si>
    <t>000206326</t>
  </si>
  <si>
    <t>Quality Auditor</t>
  </si>
  <si>
    <t>JCP/25/190581</t>
  </si>
  <si>
    <t>faisal ahmed ahmed shah gul salam hashmi</t>
  </si>
  <si>
    <t>JCP/25/198356</t>
  </si>
  <si>
    <t>Faisal Ghulam Mohd</t>
  </si>
  <si>
    <t xml:space="preserve">Camera &amp; CCTV Supervisor </t>
  </si>
  <si>
    <t>BASEL SHAKER ALI MANSOOR ALI</t>
  </si>
  <si>
    <t>061002798</t>
  </si>
  <si>
    <t>26/270825</t>
  </si>
  <si>
    <t>Ali Mohsin Abdali</t>
  </si>
  <si>
    <t>040706842</t>
  </si>
  <si>
    <t>JCP/26/285421</t>
  </si>
  <si>
    <t>ali abbas abdali</t>
  </si>
  <si>
    <t>JCP/25/261707</t>
  </si>
  <si>
    <t>Abdulla Hussain Abdulla</t>
  </si>
  <si>
    <t>030905818</t>
  </si>
  <si>
    <t>26/283501</t>
  </si>
  <si>
    <t>AAMER ALI HASAN ALMUTAWA</t>
  </si>
  <si>
    <t xml:space="preserve">IT Specialist </t>
  </si>
  <si>
    <t>JCP/26/283428</t>
  </si>
  <si>
    <t>mohammed ashoor hasan</t>
  </si>
  <si>
    <t>JCP/26/286399</t>
  </si>
  <si>
    <t>HASAN JAAFAR MOHAMED ALAALI</t>
  </si>
  <si>
    <t>JCP/26/285972</t>
  </si>
  <si>
    <t>ali hassan abdulla</t>
  </si>
  <si>
    <t>BUSAITEEN LAND RESTAURANT W.L.L</t>
  </si>
  <si>
    <t>137782-1</t>
  </si>
  <si>
    <t>JCP/26/288849</t>
  </si>
  <si>
    <t xml:space="preserve"> فاطمه جاسم عبدالله</t>
  </si>
  <si>
    <t>930500199</t>
  </si>
  <si>
    <t>meaad</t>
  </si>
  <si>
    <t xml:space="preserve"> JCP/25/244606</t>
  </si>
  <si>
    <t>ALI MANSOOR HAMAD SDAIF</t>
  </si>
  <si>
    <t>790702789</t>
  </si>
  <si>
    <t>Electrical supervisor</t>
  </si>
  <si>
    <t>MECHANICAL CONTRACTING &amp; SERVICES COMPANY W.L.L</t>
  </si>
  <si>
    <t>1762-2</t>
  </si>
  <si>
    <t>26/290268</t>
  </si>
  <si>
    <t>Natheer Mohamed A.Mohsen Alshowaikh</t>
  </si>
  <si>
    <t>030306221</t>
  </si>
  <si>
    <t>Public Relation Officer</t>
  </si>
  <si>
    <t>JCP/26/270511</t>
  </si>
  <si>
    <t xml:space="preserve">Ahmed Khalid </t>
  </si>
  <si>
    <t>990605086</t>
  </si>
  <si>
    <t>REEMA ARSALAN J. ARAYEDH</t>
  </si>
  <si>
    <t xml:space="preserve"> HR Administrator</t>
  </si>
  <si>
    <t xml:space="preserve">Payment without VAT </t>
  </si>
  <si>
    <t>JCP/26/283501</t>
  </si>
  <si>
    <t>JCP/25/248057</t>
  </si>
  <si>
    <t xml:space="preserve"> ABATHAR ALI AHMED ABDULLA</t>
  </si>
  <si>
    <t>881010308</t>
  </si>
  <si>
    <t>JCP/24/104341</t>
  </si>
  <si>
    <t xml:space="preserve"> marwa adel ahmed ali</t>
  </si>
  <si>
    <t>860601340</t>
  </si>
  <si>
    <t>991106903</t>
  </si>
  <si>
    <t>JCP/26/288842</t>
  </si>
  <si>
    <t>Ali husain abdali abdulla Ahmed hasan</t>
  </si>
  <si>
    <t>030502802</t>
  </si>
  <si>
    <t>Pallet Truck Operator</t>
  </si>
  <si>
    <t>JCP/26/289171</t>
  </si>
  <si>
    <t>AMMAR HUSAIN ALI ALSHOUFAH</t>
  </si>
  <si>
    <t>Forklift Operator</t>
  </si>
  <si>
    <t>JCP/26/287073</t>
  </si>
  <si>
    <t>Noor Fahad Ali</t>
  </si>
  <si>
    <t>JCP/25/220822</t>
  </si>
  <si>
    <t>AMIR MOHAMMAD ISHAQ RASO ESSA</t>
  </si>
  <si>
    <t>Storekeeper spare parts analyst</t>
  </si>
  <si>
    <t>JCP/26/296618</t>
  </si>
  <si>
    <t>ABEER MOHAMED SALEH ROZBAH</t>
  </si>
  <si>
    <t>030408113</t>
  </si>
  <si>
    <t xml:space="preserve"> 37278-3</t>
  </si>
  <si>
    <t xml:space="preserve">Payment with VAT </t>
  </si>
  <si>
    <t>JCP/24/143114</t>
  </si>
  <si>
    <t>AROOJ KHALID JAVID ALLAH DITA GULAM MOHAMMAD</t>
  </si>
  <si>
    <t>QUNTA MEDICAL W.L.L</t>
  </si>
  <si>
    <t>111825-1</t>
  </si>
  <si>
    <t xml:space="preserve">JCP/26/300302
</t>
  </si>
  <si>
    <t>ZAINAB ALI MUSLEM ALDERAZI</t>
  </si>
  <si>
    <t>960808744</t>
  </si>
  <si>
    <t>HR and Admin Specialist</t>
  </si>
  <si>
    <t>ARABIAN DREDGING COMPANY W.L.L</t>
  </si>
  <si>
    <t>39456-1</t>
  </si>
  <si>
    <t>JCP/24/142006</t>
  </si>
  <si>
    <t>Maryam Fareed Abdulmajeed</t>
  </si>
  <si>
    <t>961211954</t>
  </si>
  <si>
    <t>Transaction Clearance Specialist</t>
  </si>
  <si>
    <t>KOCHI ONE DOCUMENTS CLEARING &amp; BUILDING MATERIALS</t>
  </si>
  <si>
    <t>193093-1</t>
  </si>
  <si>
    <t>Payment Without VAT</t>
  </si>
  <si>
    <t>JCP/26/293003</t>
  </si>
  <si>
    <t>HUSAIN KHALIL E. ALSALMAN</t>
  </si>
  <si>
    <t xml:space="preserve">Project Manager </t>
  </si>
  <si>
    <t>EVER PRO CONSULTANCY</t>
  </si>
  <si>
    <t>93206-2</t>
  </si>
  <si>
    <t>JCP/26/300869</t>
  </si>
  <si>
    <t>DHEYA HASAN MAKI HASAN</t>
  </si>
  <si>
    <t>970204973</t>
  </si>
  <si>
    <t xml:space="preserve">Administrative Assistant </t>
  </si>
  <si>
    <t>Lebanon Land</t>
  </si>
  <si>
    <t>98888-1</t>
  </si>
  <si>
    <t>JCP/26/293883</t>
  </si>
  <si>
    <t>YUSUF AQEEL A. ALJESHI</t>
  </si>
  <si>
    <t>051204053</t>
  </si>
  <si>
    <t>WAITER (RESTURANTS)</t>
  </si>
  <si>
    <t>NAD FOODS W.L.L</t>
  </si>
  <si>
    <t>147151-2</t>
  </si>
  <si>
    <t>JCP/26/298842</t>
  </si>
  <si>
    <t>Shaima Jameel Hasan</t>
  </si>
  <si>
    <t>951006177</t>
  </si>
  <si>
    <t>GRAPHIC DESIGNER</t>
  </si>
  <si>
    <t>DIYAR MEDICAL CENTER</t>
  </si>
  <si>
    <t>85415-7</t>
  </si>
  <si>
    <t>JCP/26/311504</t>
  </si>
  <si>
    <t>SAKINA SAYED HUSAIN JAWAD FADHUL ALWADAEI</t>
  </si>
  <si>
    <t>ACCOUNTANT</t>
  </si>
  <si>
    <t>ELEGANT PALACE FOR MARBLE&amp;MATERIALS</t>
  </si>
  <si>
    <t>61350-1</t>
  </si>
  <si>
    <t>JCP/26/310948</t>
  </si>
  <si>
    <t>SAYED HABIB HADI HABIB EBRAHIM ALI HUSAIN</t>
  </si>
  <si>
    <t>040404757</t>
  </si>
  <si>
    <t>Technician – Car Polishing and Detailing</t>
  </si>
  <si>
    <t>QUICK FIX W.L.L</t>
  </si>
  <si>
    <t>60824-11</t>
  </si>
  <si>
    <t>JCP/26/311707</t>
  </si>
  <si>
    <t>Yusuf Hussam Alsayed</t>
  </si>
  <si>
    <t>930611160</t>
  </si>
  <si>
    <t>PURCHASING SPECIALIST</t>
  </si>
  <si>
    <t>HORECA UNITED SERVICES CO W L L</t>
  </si>
  <si>
    <t>78180-1</t>
  </si>
  <si>
    <t>JCP/26/309498</t>
  </si>
  <si>
    <t>Siddiqa abdulnabi abdulrasool ali</t>
  </si>
  <si>
    <t>890808783</t>
  </si>
  <si>
    <t xml:space="preserve">Marketing Manager </t>
  </si>
  <si>
    <t>JCP/26/310323</t>
  </si>
  <si>
    <t>MOHAMED JASIM M. SALEM</t>
  </si>
  <si>
    <t>990305295</t>
  </si>
  <si>
    <t xml:space="preserve">HR Executive </t>
  </si>
  <si>
    <t>CLUB HAWAII BAHRAIN COMPANY W.L.L</t>
  </si>
  <si>
    <t>175266-1</t>
  </si>
  <si>
    <t>JCP/25/254886</t>
  </si>
  <si>
    <t xml:space="preserve"> AYMAN ABDULSHAHEED A ALLNAKAL</t>
  </si>
  <si>
    <t>000500135</t>
  </si>
  <si>
    <t>JCP/26/310228</t>
  </si>
  <si>
    <t>SAYED HUSAIN JAWAD ALAWI AHMED HASHIM</t>
  </si>
  <si>
    <t>880900075</t>
  </si>
  <si>
    <t>JCP/26/310935</t>
  </si>
  <si>
    <t xml:space="preserve"> MARWA GAMAL ABDELNASSER HUSSEIN</t>
  </si>
  <si>
    <t>991015363</t>
  </si>
  <si>
    <t>Raw &amp; Packaging Material Planner</t>
  </si>
  <si>
    <t>JCP/26/303155</t>
  </si>
  <si>
    <t>ABDULLA FAISAL ABDULL ABDULLA</t>
  </si>
  <si>
    <t>040306089</t>
  </si>
  <si>
    <t>CONSULTANT</t>
  </si>
  <si>
    <t xml:space="preserve">Propel - GIG Insurance </t>
  </si>
  <si>
    <t>JCP/26/311735</t>
  </si>
  <si>
    <t>ALI ABBAS MOHAMED ABBAS</t>
  </si>
  <si>
    <t>931214254</t>
  </si>
  <si>
    <t>DATA ENTRY CLERK</t>
  </si>
  <si>
    <t>HQJ HOLDING CO W.L.L</t>
  </si>
  <si>
    <t>111284-1</t>
  </si>
  <si>
    <t>JCP/26/311900</t>
  </si>
  <si>
    <t>عبدالله رضا عيسى</t>
  </si>
  <si>
    <t>920306209</t>
  </si>
  <si>
    <t>147151-9</t>
  </si>
  <si>
    <t>JCP/26/318540</t>
  </si>
  <si>
    <t>ALMIQDAD SALEH MAHDI AHMED</t>
  </si>
  <si>
    <t>021203482</t>
  </si>
  <si>
    <t>Graphic designer</t>
  </si>
  <si>
    <t>Sayed Mahdi real estate agency W.L.L</t>
  </si>
  <si>
    <t>15879-2</t>
  </si>
  <si>
    <t>JCP/26/296844</t>
  </si>
  <si>
    <t>WALEED ABDULLA HAJI ABDULRAHMAN</t>
  </si>
  <si>
    <t>MANAGER</t>
  </si>
  <si>
    <t>AL SHARIF WATER PUPIFCATION PLANT</t>
  </si>
  <si>
    <t>10485-1</t>
  </si>
  <si>
    <t>JCP/26/270825</t>
  </si>
  <si>
    <t>علي محسن عبدعلي</t>
  </si>
  <si>
    <t>OPERATOR(MATERIAL HANDLING EQUIPMENT)</t>
  </si>
  <si>
    <t>JCP/26/297993</t>
  </si>
  <si>
    <t>Sondos Mohammed abdulla</t>
  </si>
  <si>
    <t>970600836</t>
  </si>
  <si>
    <t xml:space="preserve">Showroom Sales Executive </t>
  </si>
  <si>
    <t>43090-7</t>
  </si>
  <si>
    <t>JCP/25/206699</t>
  </si>
  <si>
    <t>LAYLA HASAN ABBAS JAA MOHAMED</t>
  </si>
  <si>
    <t>JCP/26/320553</t>
  </si>
  <si>
    <t>Zahraa Saeed Marhoon</t>
  </si>
  <si>
    <t>PHARMACIST</t>
  </si>
  <si>
    <t>ROYAL BAHRAIN HOSPITAL</t>
  </si>
  <si>
    <t>75104-2</t>
  </si>
  <si>
    <t>JCP/26/319200</t>
  </si>
  <si>
    <t>MOHAMED EBRAHIM ALI AHMED HASAN</t>
  </si>
  <si>
    <t>960800522</t>
  </si>
  <si>
    <t>JCP/26/319243</t>
  </si>
  <si>
    <t>KHALIL AHMED ABDULLA ALHANNAN</t>
  </si>
  <si>
    <t>SAFETY &amp; SECURITY OFFICER</t>
  </si>
  <si>
    <t>MANAMA STEEL INDUSTRIES CO. W.L.L.</t>
  </si>
  <si>
    <t>JCP/26/320954</t>
  </si>
  <si>
    <t>Zahra  Yusuf Asadalla</t>
  </si>
  <si>
    <t>900201550</t>
  </si>
  <si>
    <t xml:space="preserve">Campaign and Digital Marketing Manager </t>
  </si>
  <si>
    <t>JCP/25/165664</t>
  </si>
  <si>
    <t>ABDULRAHMAN ADEL ABDULRAHMAN TAQI</t>
  </si>
  <si>
    <t>870706675</t>
  </si>
  <si>
    <t xml:space="preserve">Resourcing manager </t>
  </si>
  <si>
    <t>Bahrain surf park</t>
  </si>
  <si>
    <t>JCP/26/321688</t>
  </si>
  <si>
    <t>MOHAMMAD WALEED MOHAMMAD ABBAS MOHAMMAD</t>
  </si>
  <si>
    <t xml:space="preserve"> 990403254</t>
  </si>
  <si>
    <t>Junior Finance Analyst</t>
  </si>
  <si>
    <t>127867 -1</t>
  </si>
  <si>
    <t>JCP/26/323823</t>
  </si>
  <si>
    <t>Maryam Khalid</t>
  </si>
  <si>
    <t>910700389</t>
  </si>
  <si>
    <t>ADMINISTRATIVE COORDINATOR</t>
  </si>
  <si>
    <t>BAHRAIN FINANCING COMPANY B S C . CLOSED</t>
  </si>
  <si>
    <t>JCP/26/317603</t>
  </si>
  <si>
    <t>mohammed yousuf anwar</t>
  </si>
  <si>
    <t>BUSINESS DEVELOPMENT MANAGER</t>
  </si>
  <si>
    <t>BLOX COMPUTER CONSULTENCIES AND EVENTS MANAGEMENT</t>
  </si>
  <si>
    <t>JCP/26/324085</t>
  </si>
  <si>
    <t>يوسف فاضل زاير</t>
  </si>
  <si>
    <t>940706431</t>
  </si>
  <si>
    <t>Government Relations &amp; Accommodation Supervisor</t>
  </si>
  <si>
    <t>JCP/26/325052</t>
  </si>
  <si>
    <t>Abdulla Jameel Ahmed</t>
  </si>
  <si>
    <t>920802877</t>
  </si>
  <si>
    <t>SALESMAN, SHOP ASST.</t>
  </si>
  <si>
    <t>YARA AMWAJ BEAUTY SALON</t>
  </si>
  <si>
    <t>79452-1</t>
  </si>
  <si>
    <t>JCP/25/247612</t>
  </si>
  <si>
    <t>amina mohamed ali hasan</t>
  </si>
  <si>
    <t>010806105</t>
  </si>
  <si>
    <t>MARKETING AND PUBLIC RELATIONS OFFICER</t>
  </si>
  <si>
    <t>BIN HINDI MOTORS CO.W.L.L.</t>
  </si>
  <si>
    <t>90487-1</t>
  </si>
  <si>
    <t>JCP/26/315869</t>
  </si>
  <si>
    <t>Zahraa Hussain Ali</t>
  </si>
  <si>
    <t>871203901</t>
  </si>
  <si>
    <t>JCP/26/317628</t>
  </si>
  <si>
    <t>Rabeya Ahmed Marzooqi</t>
  </si>
  <si>
    <t>831005491</t>
  </si>
  <si>
    <t>SALES EXECUTIVE REPRESENTATIVE</t>
  </si>
  <si>
    <t>BIN HINDI MOTORS CO.W.L.L</t>
  </si>
  <si>
    <t>90487-15</t>
  </si>
  <si>
    <t>JCP/26/297401</t>
  </si>
  <si>
    <t>FATEMA SALEM A. BURESHAID</t>
  </si>
  <si>
    <t>NURSE(GENERAL)</t>
  </si>
  <si>
    <t>KIMSHEALTH HOSPITAL BSC</t>
  </si>
  <si>
    <t>75104-8</t>
  </si>
  <si>
    <t>JCP/26/321878</t>
  </si>
  <si>
    <t>Hasan Mahfoodh Husain</t>
  </si>
  <si>
    <t>950101591</t>
  </si>
  <si>
    <t>MANAGER (OTHER)</t>
  </si>
  <si>
    <t>JCP/26/326556</t>
  </si>
  <si>
    <t>Roaya Adel Mahraban Baki</t>
  </si>
  <si>
    <t>MARKETING EXECUTIVE</t>
  </si>
  <si>
    <t>MAIWA FOOD</t>
  </si>
  <si>
    <t>167600-1</t>
  </si>
  <si>
    <t>JCP/26/293059</t>
  </si>
  <si>
    <t>Ali Mohamed Juma Ahmed Binahmed</t>
  </si>
  <si>
    <t>020607571</t>
  </si>
  <si>
    <t>OFFICER(ADMINISTRATIVE)</t>
  </si>
  <si>
    <t>BAHRAIN INSTITUTE FOR PEARLS AND GEMSTONES (D</t>
  </si>
  <si>
    <t>112090-1</t>
  </si>
  <si>
    <t>JCP/26/288202</t>
  </si>
  <si>
    <t>SALMAN MOHAMED ABDULAMEER SALEH MAJED</t>
  </si>
  <si>
    <t>030408644</t>
  </si>
  <si>
    <t>MEDIA SPECIALIST</t>
  </si>
  <si>
    <t>IOTBAHRAIN TRADING</t>
  </si>
  <si>
    <t>JCP/26/320248</t>
  </si>
  <si>
    <t>LEEZA NEDHAL SUBHI AAQELA</t>
  </si>
  <si>
    <t>890600325</t>
  </si>
  <si>
    <t>HEAD OPERATIONS &amp; SERVICES</t>
  </si>
  <si>
    <t>BRAINWAVE FOR COGNITIVE TRAINING AND EDUCATIONAL CONSULTING W.L.L</t>
  </si>
  <si>
    <t>192774-1</t>
  </si>
  <si>
    <t>JCP/26/298806</t>
  </si>
  <si>
    <t>MARYAM ISA AHMED MOHAMED</t>
  </si>
  <si>
    <t>SAFETY OFFICER</t>
  </si>
  <si>
    <t>JCP/26/334089</t>
  </si>
  <si>
    <t>KHADIJA MUBARAK MUBARAK JAMSHEER</t>
  </si>
  <si>
    <t>030904633</t>
  </si>
  <si>
    <t>Ameera</t>
  </si>
  <si>
    <t>JCP/26/337351</t>
  </si>
  <si>
    <t>NOOF MOHAMED ABDULLA ALKHALDI</t>
  </si>
  <si>
    <t>DIR, HUMAN RESOURCES</t>
  </si>
  <si>
    <t>AL ROSHINAH RESTAURANT AND CAFE</t>
  </si>
  <si>
    <t>38264-9</t>
  </si>
  <si>
    <t>JCP/25/223474</t>
  </si>
  <si>
    <t>salman mohamed haneef hayat</t>
  </si>
  <si>
    <t>ACCOUNTANT(GENERAL)</t>
  </si>
  <si>
    <t>JCP/26/324457</t>
  </si>
  <si>
    <t>MOHAMMED ALI ABDULLA ALI ABDULLA ALKHARDAWI</t>
  </si>
  <si>
    <t>071204580</t>
  </si>
  <si>
    <t>DRIVER</t>
  </si>
  <si>
    <t>JCP/25/245932</t>
  </si>
  <si>
    <t>HUSSAIN EBRAHIM HASAN ALGHADAIRI</t>
  </si>
  <si>
    <t>981005128</t>
  </si>
  <si>
    <t>JCP/26/333853</t>
  </si>
  <si>
    <t>ISA YUSUF AHMED ALBANNA</t>
  </si>
  <si>
    <t>PROPEL CONSULT LIMITED- Foreign Branch</t>
  </si>
  <si>
    <t>JCP/26/323877</t>
  </si>
  <si>
    <t>ZAINAB SAYED FADHUL HASHEM MAHFOODH HASAN</t>
  </si>
  <si>
    <t>ADMINISTRATOR</t>
  </si>
  <si>
    <t>REFCONE HEAT INSULATION</t>
  </si>
  <si>
    <t>86988-1</t>
  </si>
  <si>
    <t>JCP/26/321174</t>
  </si>
  <si>
    <t>NOOR HASHIM GHULOOM JAAFAR HASHIM AMEERI</t>
  </si>
  <si>
    <t>EXECUTIVE EMPLOYEE</t>
  </si>
  <si>
    <t>RBH MEDICAL CENTER</t>
  </si>
  <si>
    <t>75104-9</t>
  </si>
  <si>
    <t>JCP/26/324988</t>
  </si>
  <si>
    <t>SALMAN HABIB MOHAMED NASRALLA HAIDER</t>
  </si>
  <si>
    <t>050106805</t>
  </si>
  <si>
    <t>NURSE</t>
  </si>
  <si>
    <t>JCP/26/321356</t>
  </si>
  <si>
    <t>GHUFRAN FADHEL AHMED GHAREEB</t>
  </si>
  <si>
    <t>SALES REPRESENTATIVE</t>
  </si>
  <si>
    <t>JCP/26/314286</t>
  </si>
  <si>
    <t>AHMED ABDULHADI ABDULL SATAIH</t>
  </si>
  <si>
    <t>020508980</t>
  </si>
  <si>
    <t>ASSISTANT TECHNICIAN</t>
  </si>
  <si>
    <t>SECURE SERVICES W.L.L</t>
  </si>
  <si>
    <t>45713-2</t>
  </si>
  <si>
    <t>JCP/26/318606</t>
  </si>
  <si>
    <t>FAISAL ABDULNASER HASAN ABDULHASAN SAKRAN</t>
  </si>
  <si>
    <t>041203437</t>
  </si>
  <si>
    <t>CASHIER</t>
  </si>
  <si>
    <t>JCP/26/340996</t>
  </si>
  <si>
    <t xml:space="preserve"> HUSSAIN MOHAMMED RIDHA SH.HUSSAIN ALJAZEERI</t>
  </si>
  <si>
    <t>900807806</t>
  </si>
  <si>
    <t xml:space="preserve">Guest Experience Supervisor </t>
  </si>
  <si>
    <t>JCP/26/341785</t>
  </si>
  <si>
    <t xml:space="preserve"> MOHAMED HUSAIN E FATHI</t>
  </si>
  <si>
    <t>021104174</t>
  </si>
  <si>
    <t>PROPEL CONSULT LIMITED- Foreign Branch - GIG</t>
  </si>
  <si>
    <t>JCP/25/224511</t>
  </si>
  <si>
    <t>ALAA HUSAIN ABDULGHAFOOR GHULOOM HUSAIN</t>
  </si>
  <si>
    <t>EXECUTIVE MANAGER</t>
  </si>
  <si>
    <t>PROPEL CONSULT LIMITED - Binaa Eagle Hills</t>
  </si>
  <si>
    <t>JCP/25/214228</t>
  </si>
  <si>
    <t>RAJA YAHYA SAJJAD RAJA S I RAJAALLAH DITTA</t>
  </si>
  <si>
    <t>001012339</t>
  </si>
  <si>
    <t>INFORMATION TECHNOLOGY SPECIALIST</t>
  </si>
  <si>
    <t>JCP/26/343162</t>
  </si>
  <si>
    <t>HUSSAIN ABDULJALIL ABDU HASAN</t>
  </si>
  <si>
    <t>040402231</t>
  </si>
  <si>
    <t xml:space="preserve">Reasearcher </t>
  </si>
  <si>
    <t>PROPEL CONSULT LIMITED WLL</t>
  </si>
  <si>
    <t>JCP/26/318107</t>
  </si>
  <si>
    <t>FATEMA JALAL HUSAIN ABBAS</t>
  </si>
  <si>
    <t>JCP/26/342995</t>
  </si>
  <si>
    <t>MAHMOOD HABIB ABDALI HUSAIN</t>
  </si>
  <si>
    <t>EROS BH CO W.L.L</t>
  </si>
  <si>
    <t>164067-1</t>
  </si>
  <si>
    <t>JCP/26/339045</t>
  </si>
  <si>
    <t>FADHUL HUSAIN MANSOOR NASER</t>
  </si>
  <si>
    <t>030710146</t>
  </si>
  <si>
    <t>MACHINE OPERATOR</t>
  </si>
  <si>
    <t>JCP/25/259687</t>
  </si>
  <si>
    <t>ALAA ABDULAZIZ MOHAMED ALKOOHEJI</t>
  </si>
  <si>
    <t>NEXUS FINANCIAL SERVICES W.L.L</t>
  </si>
  <si>
    <t>62254-1</t>
  </si>
  <si>
    <t>JCP/26/305104</t>
  </si>
  <si>
    <t>Zahra Abdulameer Hasan Alsamak</t>
  </si>
  <si>
    <t>JCP/26/334020</t>
  </si>
  <si>
    <t>ALIA TARADA</t>
  </si>
  <si>
    <t>020809069</t>
  </si>
  <si>
    <t>JCP/26/334354</t>
  </si>
  <si>
    <t>DANA ANWAR YUSUF RAMADHAN ABDULLA ALMULLA</t>
  </si>
  <si>
    <t>021007985</t>
  </si>
  <si>
    <t>JCP/26/339201</t>
  </si>
  <si>
    <t>fatema hamza abdulla</t>
  </si>
  <si>
    <t>SALESMAN</t>
  </si>
  <si>
    <t>VIENNOIS BAHRAIN ACCESSORIES</t>
  </si>
  <si>
    <t>139176-1</t>
  </si>
  <si>
    <t>JCP/26/346550</t>
  </si>
  <si>
    <t>Majed Ali Ismaeel</t>
  </si>
  <si>
    <t>971002762</t>
  </si>
  <si>
    <t>content creator &amp; marketing manager</t>
  </si>
  <si>
    <t>BIN RADHI JEWELLERY</t>
  </si>
  <si>
    <t>172627-1</t>
  </si>
  <si>
    <t>JCP/26/343089</t>
  </si>
  <si>
    <t>MOHAMED JABER ALI ALSHOWAIKH</t>
  </si>
  <si>
    <t>SENIOR ACCOUNTANT</t>
  </si>
  <si>
    <t>NASEEF ICE CREAM FACTORY</t>
  </si>
  <si>
    <t>22729-3</t>
  </si>
  <si>
    <t>JCP/26/298902</t>
  </si>
  <si>
    <t>Ahmed Alkangooni</t>
  </si>
  <si>
    <t>MANAGER (MARKETING &amp; SALES(EXCEPT WHOLESALE))</t>
  </si>
  <si>
    <t>JCP/26/334349</t>
  </si>
  <si>
    <t>AMANI JAAFAR MAHDI AHMED HASAN</t>
  </si>
  <si>
    <t>INSURANCE ADVISOR</t>
  </si>
  <si>
    <t>JCP/26/314447</t>
  </si>
  <si>
    <t>ALI MOHAMED JAAFAR MANSOOR OMRAN ABDULLA</t>
  </si>
  <si>
    <t>011100184</t>
  </si>
  <si>
    <t>BAHRAIN INTERNATIONAL GOLF COURSE COMPANY</t>
  </si>
  <si>
    <t>32385-1</t>
  </si>
  <si>
    <t>JCP/26/340211</t>
  </si>
  <si>
    <t>Sayed Ali yusuf Alalawi</t>
  </si>
  <si>
    <t>JCP/26/338031</t>
  </si>
  <si>
    <t>MURTADHA MAKI A ALESKAFI</t>
  </si>
  <si>
    <t>JCP/26/340127</t>
  </si>
  <si>
    <t>ALI HELAL AHMED ALZAKI</t>
  </si>
  <si>
    <t>MACHINES OPERATOR</t>
  </si>
  <si>
    <t>JCP/26/338745</t>
  </si>
  <si>
    <t>Basem Abdulameer Ebrahim Hasan Ahmed Alaswad</t>
  </si>
  <si>
    <t>JCP/26/287661</t>
  </si>
  <si>
    <t>Ali Abdulhusain Ali Yusuf</t>
  </si>
  <si>
    <t>850103797</t>
  </si>
  <si>
    <t>Restaurant Manager</t>
  </si>
  <si>
    <t xml:space="preserve"> DRAGON BEACH HOTEL W.L.L</t>
  </si>
  <si>
    <t>JCP/26/295210</t>
  </si>
  <si>
    <t>فاضل عباس عيسى</t>
  </si>
  <si>
    <t>880904569</t>
  </si>
  <si>
    <t>DOZEN TRADING CO W.L.L</t>
  </si>
  <si>
    <t>184468-1</t>
  </si>
  <si>
    <t>Sales Showroom- Air Codintioning</t>
  </si>
  <si>
    <t>Almoayed</t>
  </si>
  <si>
    <t>JCP/26/283679</t>
  </si>
  <si>
    <t>ZEYAD EHAB J. ADWAN</t>
  </si>
  <si>
    <t>030906474</t>
  </si>
  <si>
    <t>CLUB HAWAII BAHRAIN COMPANY W.L.Т</t>
  </si>
  <si>
    <t>JCP/26/297418</t>
  </si>
  <si>
    <t>Ghada Mahmood Almarhoon</t>
  </si>
  <si>
    <t>Execuitve assistant</t>
  </si>
  <si>
    <t xml:space="preserve"> CLUB HAWAII BAHRAIN COMPANY W.L.L</t>
  </si>
  <si>
    <t>JCP/26/305935</t>
  </si>
  <si>
    <t>NOOF ABDULLA A ALHAMMAD</t>
  </si>
  <si>
    <t>020600720</t>
  </si>
  <si>
    <t>Operational Excellence Coordinator</t>
  </si>
  <si>
    <t>JCP/26/293571</t>
  </si>
  <si>
    <t xml:space="preserve"> AHOOD JAMEEL M. ALAHMED</t>
  </si>
  <si>
    <t>980113199</t>
  </si>
  <si>
    <t>RECEPTIONIST(CLINIC)</t>
  </si>
  <si>
    <t>REVIERA CLINICS W.L.L</t>
  </si>
  <si>
    <t>136673-1</t>
  </si>
  <si>
    <t>JCP/26/335568</t>
  </si>
  <si>
    <t>AMNA AFZAL MOHAMMAD AFZAL ABDULREHMAN</t>
  </si>
  <si>
    <t>980704421</t>
  </si>
  <si>
    <t>KANGAROO KIDS INTERNATIONAL PRESCHOOL W.L.L</t>
  </si>
  <si>
    <t xml:space="preserve"> 183468-1</t>
  </si>
  <si>
    <t>JCP/26/303162</t>
  </si>
  <si>
    <t>HAWRA JAAFAR A. AHMED</t>
  </si>
  <si>
    <t>000504688</t>
  </si>
  <si>
    <t xml:space="preserve">Marketing Executive </t>
  </si>
  <si>
    <t xml:space="preserve"> TOTAL RELIANCE FOR CONSTRUCTION, TRADE AND CONSULTANCY</t>
  </si>
  <si>
    <t xml:space="preserve"> 170032-1</t>
  </si>
  <si>
    <t>JCP/26/346767</t>
  </si>
  <si>
    <t xml:space="preserve"> ALI JAAFAR A. MOHAMED</t>
  </si>
  <si>
    <t>980603994</t>
  </si>
  <si>
    <t xml:space="preserve">Facility Technician - Mechanical </t>
  </si>
  <si>
    <t>Payment withVAT, payment done for 6 months</t>
  </si>
  <si>
    <t>Disupute Comment</t>
  </si>
  <si>
    <t>Placement Fee &amp; Variables</t>
  </si>
  <si>
    <t>Placement claim Highlight</t>
  </si>
  <si>
    <t>6 Months</t>
  </si>
  <si>
    <t>6M Stat</t>
  </si>
  <si>
    <t>6 Months Claim</t>
  </si>
  <si>
    <t>Highlight rule 6M</t>
  </si>
  <si>
    <t>12 Months</t>
  </si>
  <si>
    <t>12 Months Claim</t>
  </si>
  <si>
    <t>12 M Stat</t>
  </si>
  <si>
    <t>Highlight rule 12 M</t>
  </si>
  <si>
    <t>Total Stat</t>
  </si>
  <si>
    <t>Total first claim</t>
  </si>
  <si>
    <t>Placement Fee</t>
  </si>
  <si>
    <t>Long MoL</t>
  </si>
  <si>
    <t>this payment is done for 6 months</t>
  </si>
  <si>
    <t>Claimed</t>
  </si>
  <si>
    <t>this payment is done for 12 months</t>
  </si>
  <si>
    <t>She resigned before registering her</t>
  </si>
  <si>
    <t>Candidate resigned before being registerein SIO</t>
  </si>
  <si>
    <t>Not registered in SIO</t>
  </si>
  <si>
    <t>this payment is done for 6months</t>
  </si>
  <si>
    <t>Application not approved by Tamkeen</t>
  </si>
  <si>
    <t>SIO not registered yet</t>
  </si>
  <si>
    <t>14-3-26</t>
  </si>
  <si>
    <t>14-9-26</t>
  </si>
  <si>
    <t>Application canceled</t>
  </si>
  <si>
    <t>Candidate left</t>
  </si>
  <si>
    <t>not able to claim as joining date after approval date</t>
  </si>
  <si>
    <t>need to be transfered to our center</t>
  </si>
  <si>
    <t>Application pending individual</t>
  </si>
  <si>
    <t>candidate left</t>
  </si>
  <si>
    <t>IT ticket has been created by mohsin to change from fulltime to outsource to be able to claim</t>
  </si>
  <si>
    <t>it ticket issued to include undergraduate variable</t>
  </si>
  <si>
    <t>Case Manager</t>
  </si>
  <si>
    <t>Claims</t>
  </si>
  <si>
    <t>Not Claimed</t>
  </si>
  <si>
    <t>Partial Claimed</t>
  </si>
  <si>
    <t>Part time Direct Employment</t>
  </si>
  <si>
    <t>Disputed</t>
  </si>
  <si>
    <t>Full time Multi Party Employment</t>
  </si>
  <si>
    <t>Terminated</t>
  </si>
  <si>
    <t>Pro active Job Seeker</t>
  </si>
  <si>
    <t>No Placement 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</si>
</sst>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_);_(* \(#,##0.000\);_(* &quot;-&quot;??_);_(@_)"/>
    <numFmt numFmtId="165" formatCode="[$-409]d\-mmm\-yy;@"/>
  </numFmts>
  <fonts count="3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0"/>
      <color rgb="FF000000"/>
      <name val="Arial"/>
      <family val="2"/>
    </font>
    <font>
      <sz val="10"/>
      <color rgb="FF4EA72E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ircularStd"/>
      <charset val="1"/>
    </font>
    <font>
      <sz val="9"/>
      <color theme="1"/>
      <name val="CircularStd"/>
      <charset val="1"/>
    </font>
    <font>
      <sz val="11"/>
      <color rgb="FF000000"/>
      <name val="Calibri"/>
      <family val="2"/>
    </font>
    <font>
      <sz val="11"/>
      <color rgb="FF000000"/>
      <name val="CircularStd"/>
      <charset val="1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sz val="11"/>
      <color rgb="FF65688C"/>
      <name val="CircularStd"/>
      <charset val="1"/>
    </font>
    <font>
      <sz val="8"/>
      <color rgb="FF1F1F1F"/>
      <name val="Inherit"/>
      <charset val="1"/>
    </font>
    <font>
      <sz val="8"/>
      <color theme="1"/>
      <name val="Arial"/>
      <family val="2"/>
    </font>
    <font>
      <sz val="11"/>
      <color rgb="FF26294C"/>
      <name val="CircularStd"/>
      <charset val="1"/>
    </font>
    <font>
      <sz val="11"/>
      <color rgb="FF0D0D0D"/>
      <name val="Calibri"/>
      <family val="2"/>
      <scheme val="minor"/>
    </font>
    <font>
      <sz val="10"/>
      <color rgb="FF000000"/>
      <name val="Calibri"/>
      <family val="2"/>
    </font>
    <font>
      <sz val="9"/>
      <color rgb="FF65688C"/>
      <name val="CircularStd"/>
      <charset val="1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2"/>
      <color rgb="FF000000"/>
      <name val="Calibri"/>
      <family val="2"/>
      <scheme val="minor"/>
    </font>
    <font>
      <sz val="10"/>
      <color rgb="FF0E1135"/>
      <name val="CircularStd"/>
    </font>
    <font>
      <sz val="11"/>
      <color theme="10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rgb="FF333333"/>
      <name val="Helvetica Neue"/>
      <charset val="1"/>
    </font>
    <font>
      <sz val="11"/>
      <color rgb="FF000000"/>
      <name val="CircularStd"/>
    </font>
    <font>
      <sz val="14"/>
      <color rgb="FF65688C"/>
      <name val="CircularStd"/>
      <charset val="1"/>
    </font>
    <font>
      <sz val="12"/>
      <color rgb="FF65688C"/>
      <name val="CircularStd"/>
      <charset val="1"/>
    </font>
  </fonts>
  <fills count="10">
    <fill>
      <patternFill patternType="none"/>
    </fill>
    <fill>
      <patternFill patternType="gray125"/>
    </fill>
    <fill>
      <patternFill patternType="solid">
        <fgColor rgb="FF002060"/>
        <bgColor rgb="FF0F9ED5"/>
      </patternFill>
    </fill>
    <fill>
      <patternFill patternType="solid">
        <fgColor theme="4"/>
        <bgColor rgb="FF0F9ED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5F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6" fillId="0" borderId="0" applyFont="0" applyFill="0" applyBorder="0" applyAlignment="0" applyProtection="0"/>
  </cellStyleXfs>
  <cellXfs count="124">
    <xf numFmtId="0" fontId="0" fillId="0" borderId="0" xfId="0"/>
    <xf numFmtId="0" fontId="4" fillId="0" borderId="2" xfId="0" applyFont="1" applyBorder="1"/>
    <xf numFmtId="0" fontId="1" fillId="0" borderId="2" xfId="1" applyBorder="1" applyAlignment="1"/>
    <xf numFmtId="0" fontId="0" fillId="0" borderId="0" xfId="0" applyAlignment="1">
      <alignment horizontal="center"/>
    </xf>
    <xf numFmtId="15" fontId="0" fillId="0" borderId="0" xfId="0" applyNumberFormat="1"/>
    <xf numFmtId="49" fontId="0" fillId="0" borderId="0" xfId="0" applyNumberFormat="1"/>
    <xf numFmtId="164" fontId="0" fillId="0" borderId="0" xfId="2" applyNumberFormat="1" applyFont="1"/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2" applyNumberFormat="1" applyFont="1"/>
    <xf numFmtId="14" fontId="3" fillId="2" borderId="4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/>
    </xf>
    <xf numFmtId="0" fontId="5" fillId="0" borderId="2" xfId="0" applyFont="1" applyBorder="1"/>
    <xf numFmtId="15" fontId="2" fillId="0" borderId="1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" fillId="3" borderId="4" xfId="0" applyFont="1" applyFill="1" applyBorder="1" applyAlignment="1">
      <alignment horizontal="center" vertical="center" wrapText="1"/>
    </xf>
    <xf numFmtId="49" fontId="4" fillId="0" borderId="2" xfId="0" applyNumberFormat="1" applyFont="1" applyBorder="1"/>
    <xf numFmtId="164" fontId="4" fillId="0" borderId="2" xfId="2" applyNumberFormat="1" applyFont="1" applyBorder="1"/>
    <xf numFmtId="0" fontId="8" fillId="0" borderId="2" xfId="1" applyFont="1" applyBorder="1" applyAlignment="1"/>
    <xf numFmtId="0" fontId="0" fillId="0" borderId="1" xfId="0" applyBorder="1"/>
    <xf numFmtId="0" fontId="9" fillId="0" borderId="2" xfId="1" applyFont="1" applyBorder="1" applyAlignment="1"/>
    <xf numFmtId="0" fontId="10" fillId="0" borderId="2" xfId="1" applyFont="1" applyBorder="1" applyAlignment="1"/>
    <xf numFmtId="15" fontId="10" fillId="0" borderId="0" xfId="0" applyNumberFormat="1" applyFont="1"/>
    <xf numFmtId="0" fontId="11" fillId="0" borderId="0" xfId="0" applyFont="1"/>
    <xf numFmtId="49" fontId="13" fillId="0" borderId="5" xfId="0" applyNumberFormat="1" applyFont="1" applyBorder="1"/>
    <xf numFmtId="49" fontId="4" fillId="0" borderId="5" xfId="0" applyNumberFormat="1" applyFont="1" applyBorder="1"/>
    <xf numFmtId="0" fontId="4" fillId="0" borderId="3" xfId="0" applyFont="1" applyBorder="1"/>
    <xf numFmtId="0" fontId="4" fillId="0" borderId="0" xfId="0" applyFont="1"/>
    <xf numFmtId="0" fontId="12" fillId="4" borderId="0" xfId="0" applyFont="1" applyFill="1" applyAlignment="1">
      <alignment wrapText="1"/>
    </xf>
    <xf numFmtId="0" fontId="2" fillId="0" borderId="0" xfId="0" applyFont="1"/>
    <xf numFmtId="0" fontId="10" fillId="0" borderId="0" xfId="0" applyFont="1"/>
    <xf numFmtId="0" fontId="4" fillId="0" borderId="6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14" fillId="0" borderId="0" xfId="0" applyFont="1"/>
    <xf numFmtId="0" fontId="15" fillId="0" borderId="0" xfId="0" applyFont="1"/>
    <xf numFmtId="0" fontId="10" fillId="0" borderId="1" xfId="1" applyFont="1" applyBorder="1" applyAlignment="1"/>
    <xf numFmtId="0" fontId="16" fillId="0" borderId="0" xfId="0" applyFont="1"/>
    <xf numFmtId="0" fontId="17" fillId="0" borderId="0" xfId="0" applyFont="1"/>
    <xf numFmtId="0" fontId="10" fillId="0" borderId="2" xfId="1" applyFont="1" applyBorder="1" applyAlignment="1">
      <alignment horizontal="left"/>
    </xf>
    <xf numFmtId="15" fontId="0" fillId="0" borderId="1" xfId="0" applyNumberFormat="1" applyBorder="1"/>
    <xf numFmtId="15" fontId="18" fillId="0" borderId="1" xfId="0" applyNumberFormat="1" applyFont="1" applyBorder="1"/>
    <xf numFmtId="14" fontId="0" fillId="0" borderId="0" xfId="0" applyNumberFormat="1"/>
    <xf numFmtId="0" fontId="13" fillId="0" borderId="1" xfId="0" applyFont="1" applyBorder="1" applyAlignment="1">
      <alignment wrapText="1"/>
    </xf>
    <xf numFmtId="0" fontId="19" fillId="2" borderId="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4" fillId="0" borderId="2" xfId="0" applyFont="1" applyBorder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/>
    <xf numFmtId="15" fontId="0" fillId="5" borderId="0" xfId="0" applyNumberFormat="1" applyFill="1"/>
    <xf numFmtId="0" fontId="17" fillId="6" borderId="0" xfId="0" applyFont="1" applyFill="1" applyAlignment="1">
      <alignment wrapText="1"/>
    </xf>
    <xf numFmtId="0" fontId="1" fillId="0" borderId="1" xfId="1" applyBorder="1" applyAlignment="1">
      <alignment wrapText="1"/>
    </xf>
    <xf numFmtId="15" fontId="2" fillId="0" borderId="1" xfId="0" applyNumberFormat="1" applyFont="1" applyBorder="1"/>
    <xf numFmtId="0" fontId="20" fillId="0" borderId="0" xfId="0" applyFont="1"/>
    <xf numFmtId="0" fontId="20" fillId="6" borderId="0" xfId="0" applyFont="1" applyFill="1" applyAlignment="1">
      <alignment wrapText="1"/>
    </xf>
    <xf numFmtId="0" fontId="21" fillId="0" borderId="0" xfId="0" applyFont="1" applyAlignment="1">
      <alignment readingOrder="1"/>
    </xf>
    <xf numFmtId="0" fontId="22" fillId="0" borderId="2" xfId="0" applyFont="1" applyBorder="1"/>
    <xf numFmtId="0" fontId="11" fillId="0" borderId="2" xfId="0" applyFont="1" applyBorder="1"/>
    <xf numFmtId="0" fontId="23" fillId="0" borderId="0" xfId="0" applyFont="1"/>
    <xf numFmtId="0" fontId="18" fillId="0" borderId="1" xfId="0" applyFont="1" applyBorder="1"/>
    <xf numFmtId="164" fontId="13" fillId="0" borderId="2" xfId="2" applyNumberFormat="1" applyFont="1" applyBorder="1"/>
    <xf numFmtId="0" fontId="24" fillId="0" borderId="2" xfId="1" applyFont="1" applyBorder="1" applyAlignment="1"/>
    <xf numFmtId="15" fontId="2" fillId="0" borderId="1" xfId="0" applyNumberFormat="1" applyFont="1" applyBorder="1" applyAlignment="1">
      <alignment horizontal="right"/>
    </xf>
    <xf numFmtId="49" fontId="4" fillId="0" borderId="2" xfId="0" applyNumberFormat="1" applyFont="1" applyBorder="1" applyAlignment="1">
      <alignment wrapText="1"/>
    </xf>
    <xf numFmtId="0" fontId="25" fillId="0" borderId="0" xfId="0" applyFont="1"/>
    <xf numFmtId="0" fontId="26" fillId="0" borderId="0" xfId="0" applyFont="1"/>
    <xf numFmtId="0" fontId="4" fillId="7" borderId="2" xfId="0" applyFont="1" applyFill="1" applyBorder="1" applyAlignment="1">
      <alignment horizontal="center" wrapText="1"/>
    </xf>
    <xf numFmtId="0" fontId="0" fillId="7" borderId="0" xfId="0" applyFill="1"/>
    <xf numFmtId="0" fontId="1" fillId="7" borderId="2" xfId="1" applyFill="1" applyBorder="1" applyAlignment="1"/>
    <xf numFmtId="49" fontId="4" fillId="7" borderId="2" xfId="0" applyNumberFormat="1" applyFont="1" applyFill="1" applyBorder="1"/>
    <xf numFmtId="15" fontId="2" fillId="7" borderId="1" xfId="0" applyNumberFormat="1" applyFont="1" applyFill="1" applyBorder="1" applyAlignment="1">
      <alignment horizontal="center"/>
    </xf>
    <xf numFmtId="15" fontId="0" fillId="7" borderId="0" xfId="0" applyNumberFormat="1" applyFill="1"/>
    <xf numFmtId="164" fontId="4" fillId="7" borderId="2" xfId="2" applyNumberFormat="1" applyFont="1" applyFill="1" applyBorder="1"/>
    <xf numFmtId="0" fontId="27" fillId="7" borderId="0" xfId="0" applyFont="1" applyFill="1" applyAlignment="1">
      <alignment horizontal="left"/>
    </xf>
    <xf numFmtId="0" fontId="27" fillId="7" borderId="0" xfId="0" applyFont="1" applyFill="1"/>
    <xf numFmtId="0" fontId="28" fillId="7" borderId="2" xfId="0" applyFont="1" applyFill="1" applyBorder="1"/>
    <xf numFmtId="15" fontId="0" fillId="0" borderId="0" xfId="0" applyNumberFormat="1" applyAlignment="1">
      <alignment horizontal="center"/>
    </xf>
    <xf numFmtId="0" fontId="29" fillId="0" borderId="0" xfId="0" applyFont="1"/>
    <xf numFmtId="0" fontId="2" fillId="0" borderId="1" xfId="0" applyFont="1" applyBorder="1"/>
    <xf numFmtId="0" fontId="1" fillId="0" borderId="1" xfId="1" applyFill="1" applyBorder="1" applyAlignment="1">
      <alignment wrapText="1"/>
    </xf>
    <xf numFmtId="0" fontId="13" fillId="8" borderId="1" xfId="0" applyFont="1" applyFill="1" applyBorder="1" applyAlignment="1">
      <alignment wrapText="1"/>
    </xf>
    <xf numFmtId="0" fontId="1" fillId="8" borderId="1" xfId="1" applyFill="1" applyBorder="1" applyAlignment="1">
      <alignment wrapText="1"/>
    </xf>
    <xf numFmtId="0" fontId="2" fillId="8" borderId="1" xfId="0" applyFont="1" applyFill="1" applyBorder="1"/>
    <xf numFmtId="0" fontId="4" fillId="0" borderId="7" xfId="0" applyFont="1" applyBorder="1" applyAlignment="1">
      <alignment horizontal="center" wrapText="1"/>
    </xf>
    <xf numFmtId="0" fontId="13" fillId="0" borderId="8" xfId="0" applyFont="1" applyBorder="1" applyAlignment="1">
      <alignment wrapText="1"/>
    </xf>
    <xf numFmtId="0" fontId="1" fillId="0" borderId="8" xfId="1" applyFill="1" applyBorder="1" applyAlignment="1">
      <alignment wrapText="1"/>
    </xf>
    <xf numFmtId="15" fontId="2" fillId="0" borderId="8" xfId="0" applyNumberFormat="1" applyFont="1" applyBorder="1" applyAlignment="1">
      <alignment horizontal="center"/>
    </xf>
    <xf numFmtId="164" fontId="4" fillId="0" borderId="7" xfId="2" applyNumberFormat="1" applyFont="1" applyBorder="1"/>
    <xf numFmtId="0" fontId="2" fillId="0" borderId="8" xfId="0" applyFont="1" applyBorder="1"/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vertical="center"/>
    </xf>
    <xf numFmtId="15" fontId="0" fillId="0" borderId="1" xfId="0" applyNumberFormat="1" applyBorder="1" applyAlignment="1">
      <alignment horizontal="center" vertical="center"/>
    </xf>
    <xf numFmtId="164" fontId="4" fillId="0" borderId="1" xfId="2" applyNumberFormat="1" applyFont="1" applyBorder="1"/>
    <xf numFmtId="0" fontId="30" fillId="0" borderId="0" xfId="0" applyFont="1"/>
    <xf numFmtId="0" fontId="10" fillId="0" borderId="1" xfId="0" applyFont="1" applyBorder="1"/>
    <xf numFmtId="0" fontId="1" fillId="0" borderId="2" xfId="1" applyBorder="1" applyAlignment="1">
      <alignment wrapText="1"/>
    </xf>
    <xf numFmtId="0" fontId="8" fillId="0" borderId="0" xfId="0" applyFont="1"/>
    <xf numFmtId="0" fontId="31" fillId="0" borderId="2" xfId="1" applyFont="1" applyBorder="1" applyAlignment="1"/>
    <xf numFmtId="0" fontId="1" fillId="0" borderId="5" xfId="1" applyBorder="1" applyAlignment="1"/>
    <xf numFmtId="0" fontId="10" fillId="0" borderId="7" xfId="1" applyFont="1" applyBorder="1" applyAlignment="1"/>
    <xf numFmtId="0" fontId="1" fillId="0" borderId="1" xfId="1" applyBorder="1" applyAlignment="1"/>
    <xf numFmtId="0" fontId="13" fillId="0" borderId="8" xfId="0" applyFont="1" applyBorder="1"/>
    <xf numFmtId="0" fontId="4" fillId="0" borderId="7" xfId="0" applyFont="1" applyBorder="1"/>
    <xf numFmtId="49" fontId="4" fillId="0" borderId="7" xfId="0" applyNumberFormat="1" applyFont="1" applyBorder="1"/>
    <xf numFmtId="164" fontId="0" fillId="0" borderId="7" xfId="2" applyNumberFormat="1" applyFont="1" applyBorder="1"/>
    <xf numFmtId="0" fontId="32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4" fillId="0" borderId="0" xfId="0" applyFont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35" fillId="0" borderId="0" xfId="0" applyFont="1"/>
    <xf numFmtId="15" fontId="16" fillId="0" borderId="0" xfId="0" applyNumberFormat="1" applyFont="1"/>
    <xf numFmtId="0" fontId="23" fillId="6" borderId="0" xfId="0" applyFont="1" applyFill="1"/>
    <xf numFmtId="0" fontId="36" fillId="0" borderId="0" xfId="0" applyFont="1"/>
    <xf numFmtId="0" fontId="37" fillId="0" borderId="0" xfId="0" applyFont="1"/>
    <xf numFmtId="0" fontId="0" fillId="9" borderId="1" xfId="0" applyFill="1" applyBorder="1"/>
    <xf numFmtId="165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34" fillId="0" borderId="1" xfId="0" applyFont="1" applyBorder="1"/>
  </cellXfs>
  <cellStyles count="3">
    <cellStyle name="Comma" xfId="2" builtinId="3"/>
    <cellStyle name="Hyperlink" xfId="1" builtinId="8"/>
    <cellStyle name="Normal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0_);_(* \(#,##0.000\);_(* &quot;-&quot;??_);_(@_)"/>
    </dxf>
    <dxf>
      <numFmt numFmtId="166" formatCode="d\-mmm\-yy"/>
    </dxf>
    <dxf>
      <alignment horizontal="center" textRotation="0" indent="0" justifyLastLine="0" shrinkToFit="0" readingOrder="0"/>
    </dxf>
    <dxf>
      <numFmt numFmtId="30" formatCode="@"/>
    </dxf>
    <dxf>
      <alignment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border outline="0">
        <top style="thin">
          <color rgb="FF808080"/>
        </top>
      </border>
    </dxf>
    <dxf>
      <border outline="0">
        <bottom style="thin">
          <color rgb="FF80808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0F9ED5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0_);_(* \(#,##0.000\);_(* &quot;-&quot;??_);_(@_)"/>
    </dxf>
    <dxf>
      <numFmt numFmtId="166" formatCode="d\-mmm\-yy"/>
    </dxf>
    <dxf>
      <alignment horizontal="center" textRotation="0" indent="0" justifyLastLine="0" shrinkToFit="0" readingOrder="0"/>
    </dxf>
    <dxf>
      <numFmt numFmtId="30" formatCode="@"/>
    </dxf>
    <dxf>
      <alignment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border outline="0">
        <top style="thin">
          <color rgb="FF808080"/>
        </top>
      </border>
    </dxf>
    <dxf>
      <border outline="0">
        <bottom style="thin">
          <color rgb="FF80808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0F9ED5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\-mmm\-yy"/>
    </dxf>
    <dxf>
      <numFmt numFmtId="0" formatCode="General"/>
    </dxf>
    <dxf>
      <numFmt numFmtId="0" formatCode="General"/>
    </dxf>
    <dxf>
      <numFmt numFmtId="166" formatCode="d\-mmm\-yy"/>
    </dxf>
    <dxf>
      <numFmt numFmtId="0" formatCode="General"/>
    </dxf>
    <dxf>
      <numFmt numFmtId="166" formatCode="d\-mmm\-yy"/>
    </dxf>
    <dxf>
      <numFmt numFmtId="166" formatCode="d\-mmm\-yy"/>
    </dxf>
    <dxf>
      <numFmt numFmtId="166" formatCode="d\-mmm\-yy"/>
    </dxf>
    <dxf>
      <numFmt numFmtId="166" formatCode="d\-mmm\-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0F9ED5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amil Shaheed" id="{F6D2DE5D-68D9-4533-94EB-14518FCC472F}" userId="S::shamil@propelconsult.com::094a31e6-bd49-442f-b919-b5f8f2e395bb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1.650267824072" createdVersion="8" refreshedVersion="8" minRefreshableVersion="3" recordCount="195" xr:uid="{E680606C-FA9E-4965-8220-0E52032045DF}">
  <cacheSource type="worksheet">
    <worksheetSource ref="B98:E110" sheet="Placements 26"/>
  </cacheSource>
  <cacheFields count="6">
    <cacheField name="SL No." numFmtId="0">
      <sharedItems containsSemiMixedTypes="0" containsString="0" containsNumber="1" containsInteger="1" minValue="1" maxValue="195"/>
    </cacheField>
    <cacheField name="Case manager" numFmtId="0">
      <sharedItems containsBlank="1" count="9">
        <s v="Husain"/>
        <s v="Meaad"/>
        <s v="Malak"/>
        <s v="Zainab Mattar"/>
        <s v="Mahdi"/>
        <s v="Dina"/>
        <m/>
        <s v="Zainab Almaroom"/>
        <s v="Khalifa"/>
      </sharedItems>
    </cacheField>
    <cacheField name="Ref No" numFmtId="0">
      <sharedItems containsBlank="1"/>
    </cacheField>
    <cacheField name="Name" numFmtId="0">
      <sharedItems containsBlank="1"/>
    </cacheField>
    <cacheField name="CPR" numFmtId="0">
      <sharedItems containsBlank="1" containsMixedTypes="1" containsNumber="1" containsInteger="1" minValue="1203282" maxValue="991106903"/>
    </cacheField>
    <cacheField name="Joining Date" numFmtId="15">
      <sharedItems containsDate="1" containsMixedTypes="1" minDate="2025-01-11T00:00:00" maxDate="2026-04-1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0.433327777777" createdVersion="8" refreshedVersion="8" minRefreshableVersion="3" recordCount="378" xr:uid="{2B96657B-E21A-4216-86E7-4CEBD16A491B}">
  <cacheSource type="worksheet">
    <worksheetSource name="Table3[[SL No.]:[12 Months]]"/>
  </cacheSource>
  <cacheFields count="15">
    <cacheField name="SL No." numFmtId="0">
      <sharedItems containsString="0" containsBlank="1" containsNumber="1" containsInteger="1" minValue="0" maxValue="195"/>
    </cacheField>
    <cacheField name="Case manager" numFmtId="0">
      <sharedItems containsBlank="1" containsMixedTypes="1" containsNumber="1" containsInteger="1" minValue="0" maxValue="0" count="10">
        <s v="Husain"/>
        <s v="Meaad"/>
        <s v="Malak"/>
        <s v="Zainab Mattar"/>
        <s v="Mahdi"/>
        <s v="Dina"/>
        <s v="Zainab Almaroom"/>
        <s v="Khalifa"/>
        <m/>
        <n v="0"/>
      </sharedItems>
    </cacheField>
    <cacheField name="Ref No" numFmtId="0">
      <sharedItems containsBlank="1" containsMixedTypes="1" containsNumber="1" containsInteger="1" minValue="0" maxValue="0" count="132">
        <s v="JCP/25/172042"/>
        <s v="JCP/24/057296"/>
        <s v="JCP/25/218398"/>
        <s v="JCP/25/183340"/>
        <s v="JCP/25/210558"/>
        <s v="JCP/25/267702"/>
        <s v="JCP/25/267727"/>
        <s v="JCP/25/204298"/>
        <s v="JCP/26/268524"/>
        <s v="JCP/26/268505"/>
        <s v="JCP/26/268879"/>
        <s v="JCP/26/268526"/>
        <s v="JCP/25/219711"/>
        <s v="JCP/25/219615"/>
        <s v="JCP/25/232927"/>
        <s v="JCP/25/214227"/>
        <s v="JCP/25/212208"/>
        <s v="JCP/25/223039"/>
        <s v="JCP/25/233228"/>
        <s v="JCP/25/233782"/>
        <s v="JCP/25/262810"/>
        <s v="JCP/26/283826"/>
        <s v="JCP/25/171059"/>
        <s v="JCP/25/171458"/>
        <s v="JCP/25/223860"/>
        <s v="JCP/25/258736"/>
        <s v="JCP/24/120499"/>
        <s v="JCP/25/262077"/>
        <s v="JCP/25/170479"/>
        <s v="JCP/25/213845"/>
        <s v=" JCP/26/283681"/>
        <s v="JCP/25/170060"/>
        <s v="JCP/26/271188"/>
        <s v="JCP/25/229821"/>
        <s v="JCP/25/208891"/>
        <s v="JCP/25/169005"/>
        <s v="JCP/26/284939"/>
        <s v="JCP/26/269393"/>
        <s v="JCP/25/181038"/>
        <s v="JCP/26/284947"/>
        <s v="JCP/26/286460"/>
        <s v="JCP/25/213261"/>
        <s v="JCP/25/217089"/>
        <s v="JCP/26/286051"/>
        <s v="JCP/26/286053"/>
        <s v="JCP/26/286885"/>
        <s v="JCP/25/171258"/>
        <s v="JCP/26/286809"/>
        <s v="JCP/25/153757"/>
        <s v="JCP/24/096845"/>
        <s v="JCP/25/225850"/>
        <s v="JCP/25/173504"/>
        <s v="JCP/25/217425"/>
        <s v=" JCP/24/047875"/>
        <s v="JCP/25/229307"/>
        <s v="JCP/25/174221"/>
        <s v="JCP/25/180485"/>
        <m/>
        <s v="JCP/25/178761"/>
        <s v="JCP/25/231016"/>
        <s v="JCP/25/190585"/>
        <s v="JCP/26/288742"/>
        <s v="JCP/26/288724"/>
        <s v="JCP/25/195286"/>
        <s v="JCP/24/094062"/>
        <s v="JCP/26/283470"/>
        <s v="JCP/26/283404"/>
        <s v="JCP/26/283447"/>
        <s v="JCP/26/283488"/>
        <s v="26/288849"/>
        <s v="26/289712"/>
        <s v="JCP/24/145750"/>
        <s v="JCP/25/217083"/>
        <s v="24/049470"/>
        <s v="26/289720"/>
        <s v="26/288557"/>
        <s v="JCP/25/264921"/>
        <s v="JCP/25/180026"/>
        <s v="JCP/26/285439"/>
        <s v="JCP/24/145581"/>
        <s v="JCP/25/223037"/>
        <s v="JCP/26/286008"/>
        <s v="JCP/26/283442"/>
        <s v="JCP/25/263373"/>
        <s v="JCP/26/285998"/>
        <s v="JCP/25/264214"/>
        <s v="JCP/25/190581"/>
        <s v="JCP/25/198356"/>
        <s v="JCP/25/167732"/>
        <s v="26/270825"/>
        <s v="JCP/26/285421"/>
        <s v="JCP/25/261707"/>
        <s v="26/283501"/>
        <s v="JCP/26/283428"/>
        <s v="JCP/26/286399"/>
        <s v="JCP/26/285972"/>
        <s v="JCP/24/142442"/>
        <s v="JCP/25/233173"/>
        <s v="JCP/25/244587"/>
        <s v="JCP/24/147404"/>
        <s v="JCP/25/244921"/>
        <s v="JCP/24/109221"/>
        <s v="JCP/25/184255"/>
        <s v="JCP/26/288849"/>
        <s v="JCP/25/163920"/>
        <s v="JCP/25/176279"/>
        <s v="JCP/25/181964"/>
        <s v="JCP/24/141182"/>
        <s v="JCP/25/229030"/>
        <s v="JCP/25/174409"/>
        <s v="JCP/25/154261"/>
        <s v="JCP/25/177104"/>
        <s v="JCP/25/205639"/>
        <s v="JCP/24/095374"/>
        <s v="JCP/25/183265"/>
        <s v="JCP/25/217023"/>
        <s v="JCP/25/167640"/>
        <s v="JCP/25/221888"/>
        <s v="JCP/24/146053"/>
        <s v="JCP/24/098208"/>
        <s v="JCP/25/218077"/>
        <s v="JCP/25/195286/PMT/001"/>
        <s v="JCP/25/234452"/>
        <s v=" JCP/25/244606"/>
        <s v="JCP/25/207044"/>
        <s v="JCP/25/229327"/>
        <s v="JCP/25/245831/PMT/002"/>
        <s v="26/290268"/>
        <s v="JCP/26/270511"/>
        <n v="0"/>
        <s v="JCP/24/106751"/>
        <s v="JCP/25/193738"/>
      </sharedItems>
    </cacheField>
    <cacheField name="Name" numFmtId="0">
      <sharedItems containsBlank="1" containsMixedTypes="1" containsNumber="1" containsInteger="1" minValue="0" maxValue="0"/>
    </cacheField>
    <cacheField name="Joining Date" numFmtId="15">
      <sharedItems containsDate="1" containsBlank="1" containsMixedTypes="1" minDate="2024-12-08T00:00:00" maxDate="2026-10-22T00:00:00"/>
    </cacheField>
    <cacheField name="Claims Status" numFmtId="15">
      <sharedItems containsBlank="1" count="5">
        <s v="Claimed"/>
        <s v="Claimable"/>
        <e v="#REF!"/>
        <e v="#VALUE!"/>
        <m/>
      </sharedItems>
    </cacheField>
    <cacheField name="Dispute" numFmtId="15">
      <sharedItems containsBlank="1" count="3">
        <s v="No"/>
        <s v="Yes"/>
        <m/>
      </sharedItems>
    </cacheField>
    <cacheField name="Disupute Comment" numFmtId="0">
      <sharedItems containsBlank="1"/>
    </cacheField>
    <cacheField name="Placement Fee &amp; Variables" numFmtId="0">
      <sharedItems containsDate="1" containsBlank="1" containsMixedTypes="1" minDate="2025-02-09T00:00:00" maxDate="2026-06-04T00:00:00"/>
    </cacheField>
    <cacheField name="Placement claim Highlight" numFmtId="0">
      <sharedItems containsDate="1" containsString="0" containsBlank="1" containsMixedTypes="1" minDate="1899-12-31T00:00:00" maxDate="1899-12-31T04:01:03"/>
    </cacheField>
    <cacheField name="6 Months" numFmtId="15">
      <sharedItems containsDate="1" containsBlank="1" containsMixedTypes="1" minDate="2025-06-06T00:00:00" maxDate="2027-04-20T00:00:00"/>
    </cacheField>
    <cacheField name="6M Stat" numFmtId="0">
      <sharedItems containsDate="1" containsBlank="1" containsMixedTypes="1" minDate="2026-01-22T00:00:00" maxDate="2026-01-23T00:00:00"/>
    </cacheField>
    <cacheField name="6 Months Claim" numFmtId="0">
      <sharedItems containsNonDate="0" containsDate="1" containsString="0" containsBlank="1" minDate="2025-08-04T00:00:00" maxDate="2026-04-22T00:00:00"/>
    </cacheField>
    <cacheField name="Highlight rule 6M" numFmtId="0">
      <sharedItems containsBlank="1" containsMixedTypes="1" containsNumber="1" containsInteger="1" minValue="0" maxValue="1"/>
    </cacheField>
    <cacheField name="12 Months" numFmtId="15">
      <sharedItems containsDate="1" containsBlank="1" containsMixedTypes="1" minDate="2025-12-08T00:00:00" maxDate="2027-10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n v="1"/>
    <x v="0"/>
    <s v="JCP/25/172042"/>
    <s v="WALEED ABDULWAHID J ABDULAZIZ"/>
    <s v="040710890"/>
    <d v="2026-01-06T00:00:00"/>
  </r>
  <r>
    <n v="2"/>
    <x v="1"/>
    <s v="JCP/24/057296"/>
    <s v="ASMA MOHAMMAD ASHFAQMO DIN"/>
    <s v="010706941"/>
    <d v="2026-01-13T00:00:00"/>
  </r>
  <r>
    <n v="3"/>
    <x v="2"/>
    <s v="JCP/25/218398"/>
    <s v="ZIYAD TAREQ MAJEDA ALTHAWADI"/>
    <s v="980309620"/>
    <d v="2026-01-11T00:00:00"/>
  </r>
  <r>
    <n v="4"/>
    <x v="3"/>
    <s v="JCP/25/183340"/>
    <s v="AYSHA OMAR SALEH AL ALYAZEEDI"/>
    <s v="031103103"/>
    <d v="2026-01-11T00:00:00"/>
  </r>
  <r>
    <n v="5"/>
    <x v="1"/>
    <s v="JCP/25/210558"/>
    <s v="ali  abdulameer  ali ali mohamed"/>
    <s v="990805476"/>
    <d v="2026-01-19T00:00:00"/>
  </r>
  <r>
    <n v="6"/>
    <x v="1"/>
    <s v="JCP/25/267702"/>
    <s v=" ABBAS AHMED A ALHANNAN"/>
    <s v="920305890"/>
    <d v="2026-01-11T00:00:00"/>
  </r>
  <r>
    <n v="7"/>
    <x v="1"/>
    <s v="JCP/25/267727"/>
    <s v="MAYTHAM MOHAMED JAAFAR A. MOHAMED ALI"/>
    <s v="910601313"/>
    <d v="2026-01-11T00:00:00"/>
  </r>
  <r>
    <n v="8"/>
    <x v="3"/>
    <s v="JCP/25/204298"/>
    <s v="ABDULLA MOHAMED HOORAN MOHAMED AWAD ALENEZI"/>
    <s v="000811084"/>
    <d v="2026-01-11T00:00:00"/>
  </r>
  <r>
    <n v="9"/>
    <x v="1"/>
    <s v="JCP/26/268524"/>
    <s v="LULWA EZZ EBRAHIM ABDULAZIZ RASHED ALBANKI"/>
    <s v="970409397"/>
    <d v="2026-01-11T00:00:00"/>
  </r>
  <r>
    <n v="10"/>
    <x v="4"/>
    <s v="JCP/26/268505"/>
    <s v="YUSUF ALI YUSUF HABIB DAGHER"/>
    <s v="041001389"/>
    <d v="2026-01-11T00:00:00"/>
  </r>
  <r>
    <n v="11"/>
    <x v="1"/>
    <s v="JCP/26/268879"/>
    <s v=" MERZA JAMEEL MIRZA ALARADI"/>
    <s v="961006579"/>
    <d v="2026-01-11T00:00:00"/>
  </r>
  <r>
    <n v="12"/>
    <x v="4"/>
    <s v="JCP/26/268526"/>
    <s v="AHMED WAHEED AKHTAR M. ALI"/>
    <s v="020302720"/>
    <d v="2026-01-11T00:00:00"/>
  </r>
  <r>
    <n v="13"/>
    <x v="2"/>
    <s v="JCP/25/219711"/>
    <s v="FATIMA HASAN ABDULLA BUHMAID"/>
    <s v="990701140"/>
    <d v="2026-01-11T00:00:00"/>
  </r>
  <r>
    <n v="14"/>
    <x v="0"/>
    <s v="JCP/25/219615"/>
    <s v=" HUSAIN ABDULMONEM HU  MOTHANNA"/>
    <s v="010207910"/>
    <d v="2025-12-14T00:00:00"/>
  </r>
  <r>
    <n v="15"/>
    <x v="0"/>
    <s v="JCP/25/232927"/>
    <s v="SAYED MOHAMED SAEED HASAN ALAWI"/>
    <s v="920401961"/>
    <d v="2025-12-14T00:00:00"/>
  </r>
  <r>
    <n v="16"/>
    <x v="0"/>
    <s v="JCP/25/214227"/>
    <s v="FATEMA WALEED HASAN SHOWIATER"/>
    <s v="020905904"/>
    <d v="2025-12-15T00:00:00"/>
  </r>
  <r>
    <n v="17"/>
    <x v="0"/>
    <s v="JCP/25/212208"/>
    <s v="WALAA ISA A. HASAN"/>
    <s v="990900045"/>
    <d v="2025-07-27T00:00:00"/>
  </r>
  <r>
    <n v="18"/>
    <x v="1"/>
    <s v="JCP/25/223039"/>
    <s v="SAYED ALI HASHEM E. ALQASSAB"/>
    <n v="70809119"/>
    <d v="2025-10-26T00:00:00"/>
  </r>
  <r>
    <n v="19"/>
    <x v="2"/>
    <s v="JCP/25/233228"/>
    <s v="SYED HAMID NAZIR HUSSAIN SHAH PIRZAMAN SHAH"/>
    <s v="020515189"/>
    <d v="2026-02-01T00:00:00"/>
  </r>
  <r>
    <n v="20"/>
    <x v="5"/>
    <s v="JCP/25/233782"/>
    <s v="FATEMA JAAFAR MOHAMED FARHAN"/>
    <s v="040601854"/>
    <d v="2025-10-09T00:00:00"/>
  </r>
  <r>
    <n v="21"/>
    <x v="3"/>
    <s v="JCP/25/262810"/>
    <s v="GHASSAN ABDULLA MAHDI MAHDI"/>
    <s v="861203992"/>
    <d v="2026-01-18T00:00:00"/>
  </r>
  <r>
    <n v="22"/>
    <x v="0"/>
    <s v="JCP/26/283826"/>
    <s v=" Ali Husain  Seroor"/>
    <s v="941100049"/>
    <d v="2026-01-28T00:00:00"/>
  </r>
  <r>
    <n v="23"/>
    <x v="0"/>
    <s v="JCP/25/171059"/>
    <s v="ZAINAB  NASER MOHAMED MAHMOOD ALALWAANI"/>
    <s v="980602564"/>
    <d v="2026-02-02T00:00:00"/>
  </r>
  <r>
    <n v="24"/>
    <x v="0"/>
    <s v="JCP/25/171458"/>
    <s v="HUSAIN MUSTAFA ALI ALMAJED"/>
    <s v="940101645"/>
    <d v="2026-02-02T00:00:00"/>
  </r>
  <r>
    <n v="25"/>
    <x v="6"/>
    <s v="JCP/25/223860"/>
    <s v="duaa ahmedhisham t bintin"/>
    <n v="880545151"/>
    <d v="2026-01-28T00:00:00"/>
  </r>
  <r>
    <n v="26"/>
    <x v="1"/>
    <s v="JCP/25/258736"/>
    <s v="Hasan Abdulnabi Tarada"/>
    <s v="991209095"/>
    <d v="2026-01-25T00:00:00"/>
  </r>
  <r>
    <n v="27"/>
    <x v="3"/>
    <s v="JCP/24/120499"/>
    <s v="MUSTAFA ABDULHAMEED QA  HUSAIN"/>
    <s v="990200094"/>
    <d v="2026-01-11T00:00:00"/>
  </r>
  <r>
    <n v="28"/>
    <x v="7"/>
    <s v="JCP/25/262077"/>
    <s v="MAHMOOD JAAFAR ABDULLA JASIM MOHAMED"/>
    <n v="891104186"/>
    <d v="2026-01-06T00:00:00"/>
  </r>
  <r>
    <n v="29"/>
    <x v="0"/>
    <s v="JCP/25/170479"/>
    <s v="Ali hasan Alaswami"/>
    <s v="930904079"/>
    <d v="2025-02-04T00:00:00"/>
  </r>
  <r>
    <n v="30"/>
    <x v="0"/>
    <s v="JCP/25/213845"/>
    <s v="Sara Jamal Ahmed"/>
    <s v="970303629"/>
    <d v="2025-08-05T00:00:00"/>
  </r>
  <r>
    <n v="31"/>
    <x v="0"/>
    <s v=" JCP/26/283681"/>
    <s v=" Shooq Muneer Maaroof"/>
    <s v="950401706"/>
    <d v="2026-02-04T00:00:00"/>
  </r>
  <r>
    <n v="32"/>
    <x v="0"/>
    <s v="JCP/25/170060"/>
    <s v=" SALMAN ADEL OUN JASIM"/>
    <s v="050201182"/>
    <d v="2025-02-09T00:00:00"/>
  </r>
  <r>
    <n v="33"/>
    <x v="8"/>
    <s v="JCP/26/271188"/>
    <s v="AMINA AYMAN S. NAJEM"/>
    <s v="010206191"/>
    <d v="2026-01-19T00:00:00"/>
  </r>
  <r>
    <n v="34"/>
    <x v="7"/>
    <s v="JCP/25/229821"/>
    <s v="BAYAN ADEL J. ALARAYEDH"/>
    <s v="010500308"/>
    <d v="2026-01-19T00:00:00"/>
  </r>
  <r>
    <n v="35"/>
    <x v="0"/>
    <s v="JCP/25/208891"/>
    <s v="SAYED JAAFAR EBRAHIM JAAFAR NEMAA"/>
    <s v="000804800"/>
    <d v="2026-02-08T00:00:00"/>
  </r>
  <r>
    <n v="36"/>
    <x v="0"/>
    <s v="JCP/25/169005"/>
    <s v="YASER SALMAN EBRAHIM MAHDI"/>
    <n v="910401390"/>
    <d v="2026-02-17T00:00:00"/>
  </r>
  <r>
    <n v="37"/>
    <x v="1"/>
    <s v="JCP/26/284939"/>
    <s v="Mariam Samir Ali"/>
    <s v="931200571"/>
    <d v="2026-02-09T00:00:00"/>
  </r>
  <r>
    <n v="38"/>
    <x v="3"/>
    <s v="JCP/26/269393"/>
    <s v="FATEMA HASAN JASIM HASAN AHMED"/>
    <s v="990509540"/>
    <d v="2026-02-22T00:00:00"/>
  </r>
  <r>
    <n v="39"/>
    <x v="4"/>
    <s v="JCP/25/181038"/>
    <s v="Hessa al doserri "/>
    <s v="001004310"/>
    <d v="2026-02-18T00:00:00"/>
  </r>
  <r>
    <n v="40"/>
    <x v="1"/>
    <s v="JCP/26/284947"/>
    <s v="MARYAM MOHAMED A. ALMUQAHWI"/>
    <s v="031110681"/>
    <d v="2026-02-08T00:00:00"/>
  </r>
  <r>
    <n v="41"/>
    <x v="1"/>
    <s v="JCP/26/286460"/>
    <s v="Sharifa Abdulrazzaq Hasan"/>
    <n v="971000689"/>
    <d v="2026-02-18T00:00:00"/>
  </r>
  <r>
    <n v="42"/>
    <x v="0"/>
    <s v="JCP/25/213261"/>
    <s v="AMMAR SALEH HASAN AHMED ALI"/>
    <s v="000305910"/>
    <d v="2025-08-24T00:00:00"/>
  </r>
  <r>
    <n v="43"/>
    <x v="0"/>
    <s v="JCP/25/217089"/>
    <s v="ALI HUSAIN ABDULLA KAD FARDAN"/>
    <s v="030400686"/>
    <d v="2025-08-17T00:00:00"/>
  </r>
  <r>
    <n v="44"/>
    <x v="1"/>
    <s v="JCP/26/286051"/>
    <s v="Fatima Mukhtar"/>
    <n v="981206620"/>
    <d v="2026-02-15T00:00:00"/>
  </r>
  <r>
    <n v="45"/>
    <x v="1"/>
    <s v="JCP/26/286053"/>
    <s v="MARYAM A.JALIL ABDULLA HASAN ABDULLA SARHAN"/>
    <n v="20203896"/>
    <d v="2026-02-15T00:00:00"/>
  </r>
  <r>
    <n v="46"/>
    <x v="1"/>
    <s v="JCP/26/286885"/>
    <s v="Naba Zuhair AlElaiwat"/>
    <n v="981003133"/>
    <d v="2026-02-23T00:00:00"/>
  </r>
  <r>
    <n v="47"/>
    <x v="0"/>
    <s v="JCP/25/171258"/>
    <s v="Noora Faqir"/>
    <s v="930911571"/>
    <d v="2025-03-05T00:00:00"/>
  </r>
  <r>
    <n v="48"/>
    <x v="1"/>
    <s v="JCP/26/286809"/>
    <s v="Ameera Husain Hamad"/>
    <n v="950704415"/>
    <d v="2026-03-01T00:00:00"/>
  </r>
  <r>
    <n v="49"/>
    <x v="0"/>
    <s v="JCP/25/153757"/>
    <s v="Sayed Moosa Mahdi Alawi Mohsen Ahmed"/>
    <s v="020100868"/>
    <d v="2025-03-09T00:00:00"/>
  </r>
  <r>
    <n v="50"/>
    <x v="0"/>
    <s v="JCP/24/096845"/>
    <s v="KARAR HUSAM ALI YATEEM"/>
    <s v="980405866"/>
    <d v="2025-09-11T00:00:00"/>
  </r>
  <r>
    <n v="51"/>
    <x v="0"/>
    <s v="JCP/25/225850"/>
    <s v="HASAN  FADHEL HASAN ISMAEEL  ALI"/>
    <s v="970102917"/>
    <d v="2025-09-14T00:00:00"/>
  </r>
  <r>
    <n v="52"/>
    <x v="0"/>
    <s v="JCP/25/173504"/>
    <s v="Shuaib hasan Rustam"/>
    <s v="940205432"/>
    <d v="2025-03-23T00:00:00"/>
  </r>
  <r>
    <n v="53"/>
    <x v="0"/>
    <s v="JCP/25/217425"/>
    <s v="ALI SALMAN HASAN ALI"/>
    <n v="960800360"/>
    <d v="2025-09-22T00:00:00"/>
  </r>
  <r>
    <n v="54"/>
    <x v="0"/>
    <s v=" JCP/24/047875"/>
    <s v="AMMAR SAYED YASER SAEED MOHAMED"/>
    <s v="960507680"/>
    <d v="2025-09-22T00:00:00"/>
  </r>
  <r>
    <n v="55"/>
    <x v="1"/>
    <s v="JCP/25/229307"/>
    <s v="Bader Abdulnabi Ebrahim"/>
    <n v="10306587"/>
    <d v="2025-09-21T00:00:00"/>
  </r>
  <r>
    <n v="56"/>
    <x v="1"/>
    <s v="JCP/25/174221"/>
    <s v="فاطمه حسن الليث"/>
    <n v="920300600"/>
    <d v="2025-09-21T00:00:00"/>
  </r>
  <r>
    <n v="57"/>
    <x v="0"/>
    <s v="JCP/25/180485"/>
    <s v="ساره ساتر"/>
    <s v="010306420"/>
    <d v="2025-03-24T00:00:00"/>
  </r>
  <r>
    <n v="58"/>
    <x v="1"/>
    <s v="JCP/25/194119_x000a_"/>
    <s v="MAHDI MOHAMED MAHDI ALI"/>
    <n v="891103503"/>
    <d v="2025-05-15T00:00:00"/>
  </r>
  <r>
    <n v="59"/>
    <x v="2"/>
    <s v="JCP/25/178761"/>
    <s v="MAJED MOHAMED ALI MOHSEN ZABAR"/>
    <s v="840201451"/>
    <d v="2025-09-22T00:00:00"/>
  </r>
  <r>
    <n v="60"/>
    <x v="3"/>
    <s v="JCP/25/231016"/>
    <s v="KHADIJA FAISAL ALIJASI AHMED"/>
    <m/>
    <d v="2025-01-11T00:00:00"/>
  </r>
  <r>
    <n v="61"/>
    <x v="1"/>
    <s v="JCP/25/190585"/>
    <s v="ZAINAB MOHAMED GHULOOM ALI"/>
    <n v="1203282"/>
    <d v="2025-06-03T00:00:00"/>
  </r>
  <r>
    <n v="62"/>
    <x v="0"/>
    <s v="JCP/26/288742"/>
    <s v="SAKINA ALI"/>
    <m/>
    <d v="2026-03-14T00:00:00"/>
  </r>
  <r>
    <n v="63"/>
    <x v="0"/>
    <s v="JCP/26/288724"/>
    <s v="السيد جعفر ناصر"/>
    <m/>
    <d v="2026-03-14T00:00:00"/>
  </r>
  <r>
    <n v="64"/>
    <x v="1"/>
    <s v="JCP/25/195286"/>
    <s v="HASAN AQEEL ALI HASAN ALJESHI"/>
    <n v="950405051"/>
    <d v="2025-06-11T00:00:00"/>
  </r>
  <r>
    <n v="65"/>
    <x v="5"/>
    <s v="JCP/24/094062"/>
    <s v="sayed ali noordeen ali"/>
    <n v="970303335"/>
    <d v="2025-12-21T00:00:00"/>
  </r>
  <r>
    <n v="66"/>
    <x v="5"/>
    <s v="JCP/26/283470"/>
    <s v="ALI HUSAIN SAEED ABDULWAHAB ALRADHI"/>
    <n v="871001594"/>
    <d v="2026-01-25T00:00:00"/>
  </r>
  <r>
    <n v="67"/>
    <x v="3"/>
    <s v="JCP/26/283404"/>
    <s v="Kadhem Ahmed Kadhem"/>
    <s v="030610478"/>
    <d v="2026-01-25T00:00:00"/>
  </r>
  <r>
    <n v="68"/>
    <x v="2"/>
    <s v="JCP/26/283447"/>
    <s v="ALI ABDULREDHA AHMED KHORRAMI"/>
    <n v="960304584"/>
    <d v="2026-01-25T00:00:00"/>
  </r>
  <r>
    <n v="69"/>
    <x v="5"/>
    <s v="JCP/26/283488"/>
    <s v="Ali maki Abbas"/>
    <n v="880403390"/>
    <d v="2026-01-25T00:00:00"/>
  </r>
  <r>
    <n v="70"/>
    <x v="3"/>
    <s v="26/288849"/>
    <s v="FATEMA JASIM AHMED SALEH"/>
    <n v="930500199"/>
    <d v="2026-04-01T00:00:00"/>
  </r>
  <r>
    <n v="71"/>
    <x v="1"/>
    <s v="26/289712"/>
    <s v="Maryam Abbas Ahmed Ebrahim Abdulla Almeftah"/>
    <s v="011010339"/>
    <d v="2026-03-30T00:00:00"/>
  </r>
  <r>
    <n v="72"/>
    <x v="0"/>
    <s v="JCP/24/145750"/>
    <s v="MOHAMED AHMED ALI AHMED HUSAIN"/>
    <n v="850201527"/>
    <d v="2026-03-25T00:00:00"/>
  </r>
  <r>
    <n v="73"/>
    <x v="3"/>
    <s v="JCP/25/217083"/>
    <s v="REEMA ARSALAN JASIM ARAYEDH"/>
    <s v="030903726"/>
    <d v="2026-04-05T00:00:00"/>
  </r>
  <r>
    <n v="74"/>
    <x v="0"/>
    <s v="24/049470"/>
    <s v="HASAN MAHDI NASER ALKHABBAZ"/>
    <n v="960907459"/>
    <d v="2026-03-18T00:00:00"/>
  </r>
  <r>
    <n v="75"/>
    <x v="1"/>
    <s v="26/289720"/>
    <s v="ALI MAHROOS"/>
    <n v="981100880"/>
    <d v="2026-04-01T00:00:00"/>
  </r>
  <r>
    <n v="76"/>
    <x v="1"/>
    <s v="26/288557"/>
    <s v="KAWTHAR HUSAIN MAKI A DEKHEEL"/>
    <s v="020600844"/>
    <d v="2026-04-01T00:00:00"/>
  </r>
  <r>
    <n v="77"/>
    <x v="7"/>
    <s v="JCP/25/264921"/>
    <s v="Maryam Akbar Murad"/>
    <s v="000700010"/>
    <d v="2026-03-23T00:00:00"/>
  </r>
  <r>
    <n v="78"/>
    <x v="5"/>
    <s v="JCP/25/180026"/>
    <s v="Yusuf Ebrahim Yusuf Ahmed Fulad"/>
    <n v="900710381"/>
    <d v="2026-02-08T00:00:00"/>
  </r>
  <r>
    <n v="79"/>
    <x v="5"/>
    <s v="JCP/26/285439"/>
    <s v="Sayed Mohammed ALI Albahraini"/>
    <n v="921205929"/>
    <d v="2026-02-08T00:00:00"/>
  </r>
  <r>
    <n v="80"/>
    <x v="5"/>
    <s v="JCP/24/145581"/>
    <s v="JASIM MOHAMED SALEH SALEH"/>
    <n v="991106903"/>
    <d v="2026-02-01T00:00:00"/>
  </r>
  <r>
    <n v="81"/>
    <x v="5"/>
    <s v="JCP/25/223037"/>
    <s v="JAAFAR KADHEM HUSAIN HABIB KADHEM ALJABOORI"/>
    <s v="021107238"/>
    <d v="2026-02-08T00:00:00"/>
  </r>
  <r>
    <n v="82"/>
    <x v="2"/>
    <s v="JCP/26/286008"/>
    <s v="Husain Hasan Ali"/>
    <s v="001209477"/>
    <d v="2026-02-15T00:00:00"/>
  </r>
  <r>
    <n v="83"/>
    <x v="5"/>
    <s v="JCP/26/283442"/>
    <s v="HUSAIN EBRAHIM JASIM EBRAHIM"/>
    <n v="951204181"/>
    <d v="2026-02-15T00:00:00"/>
  </r>
  <r>
    <n v="84"/>
    <x v="5"/>
    <s v="JCP/25/263373"/>
    <s v="hasan husain ebrahim"/>
    <s v="000303356"/>
    <d v="2026-02-22T00:00:00"/>
  </r>
  <r>
    <n v="85"/>
    <x v="5"/>
    <s v="JCP/26/285998"/>
    <s v="HASAN ABDULZAHRA ASHO DHABAAN"/>
    <s v="010601260"/>
    <d v="2026-02-15T00:00:00"/>
  </r>
  <r>
    <n v="86"/>
    <x v="5"/>
    <s v="JCP/25/264214"/>
    <s v="FOZAN KHAN MANZOOR Ali MUZAFFAR"/>
    <s v="000206326"/>
    <d v="2026-02-15T00:00:00"/>
  </r>
  <r>
    <n v="87"/>
    <x v="3"/>
    <s v="JCP/25/190581"/>
    <s v="faisal ahmed ahmed shah gul salam hashmi"/>
    <n v="981011098"/>
    <d v="2026-02-01T00:00:00"/>
  </r>
  <r>
    <n v="88"/>
    <x v="5"/>
    <s v="JCP/25/198356"/>
    <s v="Faisal Ghulam Mohd"/>
    <n v="880911212"/>
    <d v="2026-03-17T00:00:00"/>
  </r>
  <r>
    <n v="89"/>
    <x v="2"/>
    <s v="JCP/25/167732"/>
    <s v="BASEL SHAKER ALI MANSOOR ALI"/>
    <s v="061002798"/>
    <d v="2026-02-08T00:00:00"/>
  </r>
  <r>
    <n v="90"/>
    <x v="1"/>
    <s v="26/270825"/>
    <s v="Ali Mohsin Abdali"/>
    <s v="040706842"/>
    <d v="2026-02-08T00:00:00"/>
  </r>
  <r>
    <n v="91"/>
    <x v="5"/>
    <s v="JCP/26/285421"/>
    <s v="ali abbas abdali"/>
    <n v="981003028"/>
    <d v="2026-02-08T00:00:00"/>
  </r>
  <r>
    <n v="92"/>
    <x v="2"/>
    <s v="JCP/25/261707"/>
    <s v="Abdulla Hussain Abdulla"/>
    <s v="030905818"/>
    <d v="2026-02-08T00:00:00"/>
  </r>
  <r>
    <n v="93"/>
    <x v="5"/>
    <s v="26/283501"/>
    <s v="AAMER ALI HASAN ALMUTAWA"/>
    <n v="871003260"/>
    <d v="2026-02-25T00:00:00"/>
  </r>
  <r>
    <n v="94"/>
    <x v="2"/>
    <s v="JCP/26/283428"/>
    <s v="mohammed ashoor hasan"/>
    <n v="981202241"/>
    <d v="2026-02-15T00:00:00"/>
  </r>
  <r>
    <n v="95"/>
    <x v="5"/>
    <s v="JCP/26/286399"/>
    <s v="HASAN JAAFAR MOHAMED ALAALI"/>
    <n v="890304890"/>
    <d v="2026-02-17T00:00:00"/>
  </r>
  <r>
    <n v="96"/>
    <x v="1"/>
    <s v="JCP/26/285972"/>
    <s v="ali hassan abdulla"/>
    <n v="970604041"/>
    <d v="2026-04-12T00:00:00"/>
  </r>
  <r>
    <n v="97"/>
    <x v="0"/>
    <s v="JCP/24/142442"/>
    <s v=" SAYED ALAA MOOSA MOHAMED FADHEL"/>
    <s v="890704791"/>
    <d v="2025-10-01T00:00:00"/>
  </r>
  <r>
    <n v="98"/>
    <x v="0"/>
    <s v="JCP/25/233173"/>
    <s v=" KHALIFA EBRAHIM K. SAAD"/>
    <n v="890201641"/>
    <d v="2025-10-05T00:00:00"/>
  </r>
  <r>
    <n v="99"/>
    <x v="0"/>
    <s v="JCP/25/244587"/>
    <s v="EBRAHIM NAEEM A. MARHOON"/>
    <s v="920801471"/>
    <d v="2025-10-09T00:00:00"/>
  </r>
  <r>
    <n v="100"/>
    <x v="0"/>
    <s v="JCP/24/147404"/>
    <s v="ALI HAFEDH ALI BUKAMAL"/>
    <s v="961204559"/>
    <d v="2025-10-12T00:00:00"/>
  </r>
  <r>
    <n v="101"/>
    <x v="0"/>
    <s v="JCP/25/244921"/>
    <s v=" Firas Ali  Abdulla"/>
    <n v="990102378"/>
    <d v="2025-10-12T00:00:00"/>
  </r>
  <r>
    <n v="102"/>
    <x v="0"/>
    <s v="JCP/24/109221"/>
    <s v="ALI GHULAM MOHAMED AMEERI"/>
    <s v="941113825"/>
    <d v="2025-10-01T00:00:00"/>
  </r>
  <r>
    <n v="103"/>
    <x v="0"/>
    <s v="JCP/25/184255"/>
    <s v="hasan mohamed taqi"/>
    <s v="980308771"/>
    <d v="2025-04-13T00:00:00"/>
  </r>
  <r>
    <n v="104"/>
    <x v="3"/>
    <s v="JCP/26/288849"/>
    <s v=" فاطمه جاسم عبدالله"/>
    <s v="930500199"/>
    <d v="2026-04-01T00:00:00"/>
  </r>
  <r>
    <n v="105"/>
    <x v="0"/>
    <s v="JCP/25/163920"/>
    <s v=" MOHAMED ALI NAJIMO ALRAYASHI"/>
    <n v="980903750"/>
    <d v="2025-04-16T00:00:00"/>
  </r>
  <r>
    <n v="106"/>
    <x v="0"/>
    <s v="JCP/25/176279"/>
    <s v="AWADH ATEF M. ALATEF"/>
    <s v="050915215"/>
    <d v="2025-03-25T00:00:00"/>
  </r>
  <r>
    <n v="107"/>
    <x v="0"/>
    <s v="JCP/25/181964"/>
    <s v=" SAMAR AMER HASAN ZAINUDDIN"/>
    <s v="951206605"/>
    <s v="-"/>
  </r>
  <r>
    <n v="108"/>
    <x v="6"/>
    <m/>
    <m/>
    <m/>
    <s v="-"/>
  </r>
  <r>
    <n v="109"/>
    <x v="6"/>
    <m/>
    <m/>
    <m/>
    <s v="-"/>
  </r>
  <r>
    <n v="110"/>
    <x v="6"/>
    <m/>
    <m/>
    <m/>
    <s v="-"/>
  </r>
  <r>
    <n v="111"/>
    <x v="6"/>
    <m/>
    <m/>
    <m/>
    <s v="-"/>
  </r>
  <r>
    <n v="112"/>
    <x v="6"/>
    <m/>
    <m/>
    <m/>
    <s v="-"/>
  </r>
  <r>
    <n v="113"/>
    <x v="6"/>
    <m/>
    <m/>
    <m/>
    <s v="-"/>
  </r>
  <r>
    <n v="114"/>
    <x v="6"/>
    <m/>
    <m/>
    <m/>
    <s v="-"/>
  </r>
  <r>
    <n v="115"/>
    <x v="6"/>
    <m/>
    <m/>
    <m/>
    <s v="-"/>
  </r>
  <r>
    <n v="116"/>
    <x v="6"/>
    <m/>
    <m/>
    <m/>
    <s v="-"/>
  </r>
  <r>
    <n v="117"/>
    <x v="6"/>
    <m/>
    <m/>
    <m/>
    <s v="-"/>
  </r>
  <r>
    <n v="118"/>
    <x v="6"/>
    <m/>
    <m/>
    <m/>
    <s v="-"/>
  </r>
  <r>
    <n v="119"/>
    <x v="6"/>
    <m/>
    <m/>
    <m/>
    <s v="-"/>
  </r>
  <r>
    <n v="120"/>
    <x v="6"/>
    <m/>
    <m/>
    <m/>
    <s v="-"/>
  </r>
  <r>
    <n v="121"/>
    <x v="6"/>
    <m/>
    <m/>
    <m/>
    <s v="-"/>
  </r>
  <r>
    <n v="122"/>
    <x v="6"/>
    <m/>
    <m/>
    <m/>
    <s v="-"/>
  </r>
  <r>
    <n v="123"/>
    <x v="6"/>
    <m/>
    <m/>
    <m/>
    <s v="-"/>
  </r>
  <r>
    <n v="124"/>
    <x v="6"/>
    <m/>
    <m/>
    <m/>
    <s v="-"/>
  </r>
  <r>
    <n v="125"/>
    <x v="6"/>
    <m/>
    <m/>
    <m/>
    <s v="-"/>
  </r>
  <r>
    <n v="126"/>
    <x v="6"/>
    <m/>
    <m/>
    <m/>
    <s v="-"/>
  </r>
  <r>
    <n v="127"/>
    <x v="6"/>
    <m/>
    <m/>
    <m/>
    <s v="-"/>
  </r>
  <r>
    <n v="128"/>
    <x v="6"/>
    <m/>
    <m/>
    <m/>
    <s v="-"/>
  </r>
  <r>
    <n v="129"/>
    <x v="6"/>
    <m/>
    <m/>
    <m/>
    <s v="-"/>
  </r>
  <r>
    <n v="130"/>
    <x v="6"/>
    <m/>
    <m/>
    <m/>
    <s v="-"/>
  </r>
  <r>
    <n v="131"/>
    <x v="6"/>
    <m/>
    <m/>
    <m/>
    <s v="-"/>
  </r>
  <r>
    <n v="132"/>
    <x v="6"/>
    <m/>
    <m/>
    <m/>
    <s v="-"/>
  </r>
  <r>
    <n v="133"/>
    <x v="6"/>
    <m/>
    <m/>
    <m/>
    <s v="-"/>
  </r>
  <r>
    <n v="134"/>
    <x v="6"/>
    <m/>
    <m/>
    <m/>
    <s v="-"/>
  </r>
  <r>
    <n v="135"/>
    <x v="6"/>
    <m/>
    <m/>
    <m/>
    <s v="-"/>
  </r>
  <r>
    <n v="136"/>
    <x v="6"/>
    <m/>
    <m/>
    <m/>
    <s v="-"/>
  </r>
  <r>
    <n v="137"/>
    <x v="6"/>
    <m/>
    <m/>
    <m/>
    <s v="-"/>
  </r>
  <r>
    <n v="138"/>
    <x v="6"/>
    <m/>
    <m/>
    <m/>
    <s v="-"/>
  </r>
  <r>
    <n v="139"/>
    <x v="6"/>
    <m/>
    <m/>
    <m/>
    <s v="-"/>
  </r>
  <r>
    <n v="140"/>
    <x v="6"/>
    <m/>
    <m/>
    <m/>
    <s v="-"/>
  </r>
  <r>
    <n v="141"/>
    <x v="6"/>
    <m/>
    <m/>
    <m/>
    <s v="-"/>
  </r>
  <r>
    <n v="142"/>
    <x v="6"/>
    <m/>
    <m/>
    <m/>
    <s v="-"/>
  </r>
  <r>
    <n v="143"/>
    <x v="6"/>
    <m/>
    <m/>
    <m/>
    <s v="-"/>
  </r>
  <r>
    <n v="144"/>
    <x v="6"/>
    <m/>
    <m/>
    <m/>
    <s v="-"/>
  </r>
  <r>
    <n v="145"/>
    <x v="6"/>
    <m/>
    <m/>
    <m/>
    <s v="-"/>
  </r>
  <r>
    <n v="146"/>
    <x v="6"/>
    <m/>
    <m/>
    <m/>
    <s v="-"/>
  </r>
  <r>
    <n v="147"/>
    <x v="6"/>
    <m/>
    <m/>
    <m/>
    <s v="-"/>
  </r>
  <r>
    <n v="148"/>
    <x v="6"/>
    <m/>
    <m/>
    <m/>
    <s v="-"/>
  </r>
  <r>
    <n v="149"/>
    <x v="6"/>
    <m/>
    <m/>
    <m/>
    <s v="-"/>
  </r>
  <r>
    <n v="150"/>
    <x v="6"/>
    <m/>
    <m/>
    <m/>
    <s v="-"/>
  </r>
  <r>
    <n v="151"/>
    <x v="6"/>
    <m/>
    <m/>
    <m/>
    <s v="-"/>
  </r>
  <r>
    <n v="152"/>
    <x v="6"/>
    <m/>
    <m/>
    <m/>
    <s v="-"/>
  </r>
  <r>
    <n v="153"/>
    <x v="6"/>
    <m/>
    <m/>
    <m/>
    <s v="-"/>
  </r>
  <r>
    <n v="154"/>
    <x v="6"/>
    <m/>
    <m/>
    <m/>
    <s v="-"/>
  </r>
  <r>
    <n v="155"/>
    <x v="6"/>
    <m/>
    <m/>
    <m/>
    <s v="-"/>
  </r>
  <r>
    <n v="156"/>
    <x v="6"/>
    <m/>
    <m/>
    <m/>
    <s v="-"/>
  </r>
  <r>
    <n v="157"/>
    <x v="6"/>
    <m/>
    <m/>
    <m/>
    <s v="-"/>
  </r>
  <r>
    <n v="158"/>
    <x v="6"/>
    <m/>
    <m/>
    <m/>
    <s v="-"/>
  </r>
  <r>
    <n v="159"/>
    <x v="6"/>
    <m/>
    <m/>
    <m/>
    <s v="-"/>
  </r>
  <r>
    <n v="160"/>
    <x v="6"/>
    <m/>
    <m/>
    <m/>
    <s v="-"/>
  </r>
  <r>
    <n v="161"/>
    <x v="6"/>
    <m/>
    <m/>
    <m/>
    <s v="-"/>
  </r>
  <r>
    <n v="162"/>
    <x v="6"/>
    <m/>
    <m/>
    <m/>
    <s v="-"/>
  </r>
  <r>
    <n v="163"/>
    <x v="6"/>
    <m/>
    <m/>
    <m/>
    <s v="-"/>
  </r>
  <r>
    <n v="164"/>
    <x v="6"/>
    <m/>
    <m/>
    <m/>
    <s v="-"/>
  </r>
  <r>
    <n v="165"/>
    <x v="6"/>
    <m/>
    <m/>
    <m/>
    <s v="-"/>
  </r>
  <r>
    <n v="166"/>
    <x v="6"/>
    <m/>
    <m/>
    <m/>
    <s v="-"/>
  </r>
  <r>
    <n v="167"/>
    <x v="6"/>
    <m/>
    <m/>
    <m/>
    <s v="-"/>
  </r>
  <r>
    <n v="168"/>
    <x v="6"/>
    <m/>
    <m/>
    <m/>
    <s v="-"/>
  </r>
  <r>
    <n v="169"/>
    <x v="6"/>
    <m/>
    <m/>
    <m/>
    <s v="-"/>
  </r>
  <r>
    <n v="170"/>
    <x v="6"/>
    <m/>
    <m/>
    <m/>
    <s v="-"/>
  </r>
  <r>
    <n v="171"/>
    <x v="6"/>
    <m/>
    <m/>
    <m/>
    <s v="-"/>
  </r>
  <r>
    <n v="172"/>
    <x v="6"/>
    <m/>
    <m/>
    <m/>
    <s v="-"/>
  </r>
  <r>
    <n v="173"/>
    <x v="6"/>
    <m/>
    <m/>
    <m/>
    <s v="-"/>
  </r>
  <r>
    <n v="174"/>
    <x v="6"/>
    <m/>
    <m/>
    <m/>
    <s v="-"/>
  </r>
  <r>
    <n v="175"/>
    <x v="6"/>
    <m/>
    <m/>
    <m/>
    <s v="-"/>
  </r>
  <r>
    <n v="176"/>
    <x v="6"/>
    <m/>
    <m/>
    <m/>
    <s v="-"/>
  </r>
  <r>
    <n v="177"/>
    <x v="6"/>
    <m/>
    <m/>
    <m/>
    <s v="-"/>
  </r>
  <r>
    <n v="178"/>
    <x v="6"/>
    <m/>
    <m/>
    <m/>
    <s v="-"/>
  </r>
  <r>
    <n v="179"/>
    <x v="6"/>
    <m/>
    <m/>
    <m/>
    <s v="-"/>
  </r>
  <r>
    <n v="180"/>
    <x v="6"/>
    <m/>
    <m/>
    <m/>
    <s v="-"/>
  </r>
  <r>
    <n v="181"/>
    <x v="6"/>
    <m/>
    <m/>
    <m/>
    <s v="-"/>
  </r>
  <r>
    <n v="182"/>
    <x v="6"/>
    <m/>
    <m/>
    <m/>
    <s v="-"/>
  </r>
  <r>
    <n v="183"/>
    <x v="6"/>
    <m/>
    <m/>
    <m/>
    <s v="-"/>
  </r>
  <r>
    <n v="184"/>
    <x v="6"/>
    <m/>
    <m/>
    <m/>
    <s v="-"/>
  </r>
  <r>
    <n v="185"/>
    <x v="6"/>
    <m/>
    <m/>
    <m/>
    <s v="-"/>
  </r>
  <r>
    <n v="186"/>
    <x v="6"/>
    <m/>
    <m/>
    <m/>
    <s v="-"/>
  </r>
  <r>
    <n v="187"/>
    <x v="6"/>
    <m/>
    <m/>
    <m/>
    <s v="-"/>
  </r>
  <r>
    <n v="188"/>
    <x v="6"/>
    <m/>
    <m/>
    <m/>
    <s v="-"/>
  </r>
  <r>
    <n v="189"/>
    <x v="6"/>
    <m/>
    <m/>
    <m/>
    <s v="-"/>
  </r>
  <r>
    <n v="190"/>
    <x v="6"/>
    <m/>
    <m/>
    <m/>
    <s v="-"/>
  </r>
  <r>
    <n v="191"/>
    <x v="6"/>
    <m/>
    <m/>
    <m/>
    <s v="-"/>
  </r>
  <r>
    <n v="192"/>
    <x v="6"/>
    <m/>
    <m/>
    <m/>
    <s v="-"/>
  </r>
  <r>
    <n v="193"/>
    <x v="6"/>
    <m/>
    <m/>
    <m/>
    <s v="-"/>
  </r>
  <r>
    <n v="194"/>
    <x v="6"/>
    <m/>
    <m/>
    <m/>
    <s v="-"/>
  </r>
  <r>
    <n v="195"/>
    <x v="6"/>
    <m/>
    <m/>
    <m/>
    <s v="-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8">
  <r>
    <n v="1"/>
    <x v="0"/>
    <x v="0"/>
    <s v="WALEED ABDULWAHID J ABDULAZIZ"/>
    <d v="2026-01-06T00:00:00"/>
    <x v="0"/>
    <x v="0"/>
    <m/>
    <d v="2026-01-20T00:00:00"/>
    <n v="0"/>
    <d v="2026-07-05T00:00:00"/>
    <s v=""/>
    <m/>
    <n v="0"/>
    <d v="2027-01-06T00:00:00"/>
  </r>
  <r>
    <n v="2"/>
    <x v="1"/>
    <x v="1"/>
    <s v="ASMA MOHAMMAD ASHFAQMO DIN"/>
    <d v="2026-01-13T00:00:00"/>
    <x v="0"/>
    <x v="0"/>
    <m/>
    <d v="2026-01-20T00:00:00"/>
    <n v="0"/>
    <d v="2026-07-12T00:00:00"/>
    <s v=""/>
    <m/>
    <n v="0"/>
    <d v="2027-01-13T00:00:00"/>
  </r>
  <r>
    <n v="3"/>
    <x v="2"/>
    <x v="2"/>
    <s v="ZIYAD TAREQ MAJEDA ALTHAWADI"/>
    <d v="2026-01-11T00:00:00"/>
    <x v="0"/>
    <x v="0"/>
    <m/>
    <d v="2026-01-20T00:00:00"/>
    <n v="0"/>
    <d v="2026-07-10T00:00:00"/>
    <s v=""/>
    <m/>
    <n v="0"/>
    <d v="2027-01-11T00:00:00"/>
  </r>
  <r>
    <n v="4"/>
    <x v="3"/>
    <x v="3"/>
    <s v="AYSHA OMAR SALEH AL ALYAZEEDI"/>
    <d v="2026-01-11T00:00:00"/>
    <x v="0"/>
    <x v="0"/>
    <m/>
    <d v="2026-01-20T00:00:00"/>
    <n v="0"/>
    <d v="2026-07-10T00:00:00"/>
    <s v=""/>
    <m/>
    <n v="0"/>
    <d v="2027-01-11T00:00:00"/>
  </r>
  <r>
    <n v="5"/>
    <x v="1"/>
    <x v="4"/>
    <s v="ali  abdulameer  ali ali mohamed"/>
    <d v="2026-01-11T00:00:00"/>
    <x v="0"/>
    <x v="0"/>
    <m/>
    <d v="2026-01-21T00:00:00"/>
    <n v="0"/>
    <d v="2026-07-10T00:00:00"/>
    <s v=""/>
    <m/>
    <n v="0"/>
    <d v="2027-01-11T00:00:00"/>
  </r>
  <r>
    <n v="6"/>
    <x v="1"/>
    <x v="5"/>
    <s v=" ABBAS AHMED A ALHANNAN"/>
    <d v="2026-01-11T00:00:00"/>
    <x v="0"/>
    <x v="0"/>
    <m/>
    <d v="2026-01-22T00:00:00"/>
    <n v="0"/>
    <d v="2026-07-10T00:00:00"/>
    <s v=""/>
    <m/>
    <n v="0"/>
    <d v="2027-01-11T00:00:00"/>
  </r>
  <r>
    <n v="7"/>
    <x v="1"/>
    <x v="6"/>
    <s v="MAYTHAM MOHAMED JAAFAR A. MOHAMED ALI"/>
    <d v="2026-01-11T00:00:00"/>
    <x v="0"/>
    <x v="0"/>
    <m/>
    <d v="2026-01-22T00:00:00"/>
    <n v="0"/>
    <d v="2026-07-10T00:00:00"/>
    <s v=""/>
    <m/>
    <n v="0"/>
    <d v="2027-01-11T00:00:00"/>
  </r>
  <r>
    <n v="8"/>
    <x v="3"/>
    <x v="7"/>
    <s v="ABDULLA MOHAMED HOORAN MOHAMED AWAD ALENEZI"/>
    <d v="2026-01-11T00:00:00"/>
    <x v="0"/>
    <x v="0"/>
    <m/>
    <d v="2026-01-22T00:00:00"/>
    <n v="0"/>
    <d v="2026-07-10T00:00:00"/>
    <s v=""/>
    <m/>
    <n v="0"/>
    <d v="2027-01-11T00:00:00"/>
  </r>
  <r>
    <n v="9"/>
    <x v="1"/>
    <x v="8"/>
    <s v="LULWA EZZ EBRAHIM ABDULAZIZ RASHED ALBANKI"/>
    <d v="2026-01-11T00:00:00"/>
    <x v="0"/>
    <x v="0"/>
    <m/>
    <d v="2026-04-19T00:00:00"/>
    <n v="0"/>
    <d v="2026-07-10T00:00:00"/>
    <s v=""/>
    <m/>
    <n v="0"/>
    <d v="2027-01-11T00:00:00"/>
  </r>
  <r>
    <n v="10"/>
    <x v="4"/>
    <x v="9"/>
    <s v="YUSUF ALI YUSUF HABIB DAGHER"/>
    <d v="2026-01-11T00:00:00"/>
    <x v="0"/>
    <x v="0"/>
    <m/>
    <d v="2026-04-19T00:00:00"/>
    <n v="0"/>
    <d v="2026-07-10T00:00:00"/>
    <s v=""/>
    <m/>
    <n v="0"/>
    <d v="2027-01-11T00:00:00"/>
  </r>
  <r>
    <n v="11"/>
    <x v="1"/>
    <x v="10"/>
    <s v=" MERZA JAMEEL MIRZA ALARADI"/>
    <d v="2026-01-11T00:00:00"/>
    <x v="0"/>
    <x v="0"/>
    <m/>
    <d v="2026-01-22T00:00:00"/>
    <n v="0"/>
    <d v="2026-07-10T00:00:00"/>
    <s v=""/>
    <m/>
    <n v="0"/>
    <d v="2027-01-11T00:00:00"/>
  </r>
  <r>
    <n v="12"/>
    <x v="4"/>
    <x v="11"/>
    <s v="AHMED WAHEED AKHTAR M. ALI"/>
    <d v="2026-01-11T00:00:00"/>
    <x v="0"/>
    <x v="0"/>
    <m/>
    <d v="2026-01-21T00:00:00"/>
    <n v="0"/>
    <d v="2026-07-10T00:00:00"/>
    <s v=""/>
    <m/>
    <n v="0"/>
    <d v="2027-01-11T00:00:00"/>
  </r>
  <r>
    <n v="13"/>
    <x v="2"/>
    <x v="12"/>
    <s v="FATIMA HASAN ABDULLA BUHMAID"/>
    <d v="2026-01-11T00:00:00"/>
    <x v="0"/>
    <x v="0"/>
    <m/>
    <d v="2026-01-22T00:00:00"/>
    <n v="0"/>
    <d v="2026-07-10T00:00:00"/>
    <s v=""/>
    <m/>
    <n v="0"/>
    <d v="2027-01-11T00:00:00"/>
  </r>
  <r>
    <n v="14"/>
    <x v="0"/>
    <x v="13"/>
    <s v=" HUSAIN ABDULMONEM HU  MOTHANNA"/>
    <d v="2025-12-14T00:00:00"/>
    <x v="0"/>
    <x v="0"/>
    <m/>
    <d v="2026-01-18T00:00:00"/>
    <n v="0"/>
    <d v="2026-06-12T00:00:00"/>
    <s v=""/>
    <m/>
    <n v="0"/>
    <d v="2026-12-14T00:00:00"/>
  </r>
  <r>
    <n v="15"/>
    <x v="0"/>
    <x v="14"/>
    <s v="SAYED MOHAMED SAEED HASAN ALAWI"/>
    <d v="2025-12-14T00:00:00"/>
    <x v="0"/>
    <x v="0"/>
    <m/>
    <d v="2026-01-19T00:00:00"/>
    <n v="0"/>
    <d v="2026-06-12T00:00:00"/>
    <s v=""/>
    <m/>
    <n v="0"/>
    <d v="2026-12-14T00:00:00"/>
  </r>
  <r>
    <n v="16"/>
    <x v="0"/>
    <x v="15"/>
    <s v="FATEMA WALEED HASAN SHOWIATER"/>
    <d v="2025-12-15T00:00:00"/>
    <x v="1"/>
    <x v="0"/>
    <m/>
    <d v="2026-01-20T00:00:00"/>
    <d v="2026-01-20T00:00:00"/>
    <d v="2026-01-21T00:00:00"/>
    <d v="2026-01-22T00:00:00"/>
    <m/>
    <n v="0"/>
    <d v="2026-12-15T00:00:00"/>
  </r>
  <r>
    <n v="17"/>
    <x v="0"/>
    <x v="16"/>
    <s v="WALAA ISA A. HASAN"/>
    <d v="2025-07-27T00:00:00"/>
    <x v="0"/>
    <x v="0"/>
    <s v="this payment is done for 6 months"/>
    <d v="2025-07-27T00:00:00"/>
    <n v="0"/>
    <d v="2026-01-23T00:00:00"/>
    <s v=""/>
    <d v="2026-01-20T00:00:00"/>
    <n v="0"/>
    <d v="2026-07-27T00:00:00"/>
  </r>
  <r>
    <n v="18"/>
    <x v="1"/>
    <x v="17"/>
    <s v="SAYED ALI HASHEM E. ALQASSAB"/>
    <d v="2025-10-26T00:00:00"/>
    <x v="1"/>
    <x v="0"/>
    <m/>
    <d v="2026-01-27T00:00:00"/>
    <n v="0"/>
    <d v="2026-04-24T00:00:00"/>
    <s v="Claimable"/>
    <m/>
    <n v="1"/>
    <d v="2026-10-26T00:00:00"/>
  </r>
  <r>
    <n v="19"/>
    <x v="2"/>
    <x v="18"/>
    <s v="SYED HAMID NAZIR HUSSAIN SHAH PIRZAMAN SHAH"/>
    <d v="2026-02-01T00:00:00"/>
    <x v="0"/>
    <x v="0"/>
    <m/>
    <d v="2026-02-01T00:00:00"/>
    <n v="0"/>
    <d v="2026-07-31T00:00:00"/>
    <s v=""/>
    <m/>
    <n v="0"/>
    <d v="2027-02-01T00:00:00"/>
  </r>
  <r>
    <n v="20"/>
    <x v="5"/>
    <x v="19"/>
    <s v="FATEMA JAAFAR MOHAMED FARHAN"/>
    <d v="2025-10-09T00:00:00"/>
    <x v="1"/>
    <x v="0"/>
    <m/>
    <d v="2026-01-29T00:00:00"/>
    <n v="0"/>
    <d v="2026-04-07T00:00:00"/>
    <s v="Claimable"/>
    <m/>
    <n v="1"/>
    <d v="2026-10-09T00:00:00"/>
  </r>
  <r>
    <n v="21"/>
    <x v="3"/>
    <x v="20"/>
    <s v="GHASSAN ABDULLA MAHDI MAHDI"/>
    <d v="2026-01-18T00:00:00"/>
    <x v="1"/>
    <x v="0"/>
    <m/>
    <m/>
    <n v="1"/>
    <d v="2026-07-17T00:00:00"/>
    <s v=""/>
    <m/>
    <n v="0"/>
    <d v="2027-01-18T00:00:00"/>
  </r>
  <r>
    <n v="22"/>
    <x v="0"/>
    <x v="21"/>
    <s v=" Ali Husain  Seroor"/>
    <d v="2026-01-28T00:00:00"/>
    <x v="0"/>
    <x v="0"/>
    <m/>
    <d v="2026-02-02T00:00:00"/>
    <n v="0"/>
    <d v="2026-07-27T00:00:00"/>
    <s v=""/>
    <m/>
    <n v="0"/>
    <d v="2027-01-28T00:00:00"/>
  </r>
  <r>
    <n v="23"/>
    <x v="0"/>
    <x v="22"/>
    <s v="ZAINAB  NASER MOHAMED MAHMOOD ALALWAANI"/>
    <d v="2026-02-02T00:00:00"/>
    <x v="0"/>
    <x v="0"/>
    <s v="this payment is done for 12 months"/>
    <d v="2025-02-12T00:00:00"/>
    <n v="0"/>
    <d v="2026-08-01T00:00:00"/>
    <s v=""/>
    <d v="2025-08-04T00:00:00"/>
    <n v="0"/>
    <d v="2027-02-02T00:00:00"/>
  </r>
  <r>
    <n v="24"/>
    <x v="0"/>
    <x v="23"/>
    <s v="HUSAIN MUSTAFA ALI ALMAJED"/>
    <d v="2026-02-02T00:00:00"/>
    <x v="0"/>
    <x v="0"/>
    <s v="this payment is done for 12 months"/>
    <d v="2025-02-12T00:00:00"/>
    <n v="0"/>
    <d v="2026-08-01T00:00:00"/>
    <s v=""/>
    <d v="2025-08-04T00:00:00"/>
    <n v="0"/>
    <d v="2027-02-02T00:00:00"/>
  </r>
  <r>
    <n v="25"/>
    <x v="1"/>
    <x v="24"/>
    <s v="duaa ahmedhisham t bintin"/>
    <d v="2026-01-28T00:00:00"/>
    <x v="1"/>
    <x v="1"/>
    <s v="Not registered in SIO"/>
    <m/>
    <n v="1"/>
    <d v="2026-07-27T00:00:00"/>
    <s v=""/>
    <m/>
    <n v="0"/>
    <d v="2027-01-28T00:00:00"/>
  </r>
  <r>
    <n v="26"/>
    <x v="1"/>
    <x v="25"/>
    <s v="Hasan Abdulnabi Tarada"/>
    <d v="2026-01-25T00:00:00"/>
    <x v="0"/>
    <x v="1"/>
    <s v="Candidate resigned before being registerein SIO"/>
    <s v="Candidate resigned before being registerein SIO"/>
    <n v="0"/>
    <d v="2026-07-24T00:00:00"/>
    <s v=""/>
    <m/>
    <n v="0"/>
    <d v="2027-01-25T00:00:00"/>
  </r>
  <r>
    <n v="27"/>
    <x v="3"/>
    <x v="26"/>
    <s v="MUSTAFA ABDULHAMEED QA  HUSAIN"/>
    <d v="2026-01-11T00:00:00"/>
    <x v="1"/>
    <x v="0"/>
    <m/>
    <m/>
    <n v="1"/>
    <d v="2026-07-10T00:00:00"/>
    <s v=""/>
    <m/>
    <n v="0"/>
    <d v="2027-01-11T00:00:00"/>
  </r>
  <r>
    <n v="28"/>
    <x v="6"/>
    <x v="27"/>
    <s v="MAHMOOD JAAFAR ABDULLA JASIM MOHAMED"/>
    <d v="2026-01-06T00:00:00"/>
    <x v="0"/>
    <x v="0"/>
    <m/>
    <d v="2026-02-03T00:00:00"/>
    <n v="0"/>
    <d v="2026-07-05T00:00:00"/>
    <s v=""/>
    <m/>
    <n v="0"/>
    <d v="2027-01-06T00:00:00"/>
  </r>
  <r>
    <n v="29"/>
    <x v="0"/>
    <x v="28"/>
    <s v="Ali hasan Alaswami"/>
    <d v="2025-02-04T00:00:00"/>
    <x v="0"/>
    <x v="0"/>
    <s v="this payment is done for 12 months"/>
    <d v="2025-02-09T00:00:00"/>
    <n v="0"/>
    <d v="2025-08-03T00:00:00"/>
    <s v=""/>
    <d v="2025-08-04T00:00:00"/>
    <n v="0"/>
    <d v="2026-02-04T00:00:00"/>
  </r>
  <r>
    <n v="30"/>
    <x v="0"/>
    <x v="29"/>
    <s v="Sara Jamal Ahmed"/>
    <d v="2025-08-05T00:00:00"/>
    <x v="0"/>
    <x v="0"/>
    <s v="this payment is done for 6 months"/>
    <d v="2025-08-05T00:00:00"/>
    <n v="0"/>
    <d v="2026-02-01T00:00:00"/>
    <s v=""/>
    <d v="2026-02-05T00:00:00"/>
    <n v="0"/>
    <d v="2026-08-05T00:00:00"/>
  </r>
  <r>
    <n v="31"/>
    <x v="0"/>
    <x v="30"/>
    <s v=" Shooq Muneer Maaroof"/>
    <d v="2026-02-04T00:00:00"/>
    <x v="0"/>
    <x v="0"/>
    <m/>
    <d v="2026-02-08T00:00:00"/>
    <n v="0"/>
    <d v="2026-08-03T00:00:00"/>
    <s v=""/>
    <m/>
    <n v="0"/>
    <d v="2027-02-04T00:00:00"/>
  </r>
  <r>
    <n v="32"/>
    <x v="0"/>
    <x v="31"/>
    <s v=" SALMAN ADEL OUN JASIM"/>
    <d v="2025-02-09T00:00:00"/>
    <x v="0"/>
    <x v="0"/>
    <s v="this payment is done for 12 months"/>
    <d v="2025-02-09T00:00:00"/>
    <n v="0"/>
    <d v="2025-08-08T00:00:00"/>
    <s v=""/>
    <d v="2025-08-10T00:00:00"/>
    <n v="0"/>
    <d v="2026-02-09T00:00:00"/>
  </r>
  <r>
    <n v="33"/>
    <x v="7"/>
    <x v="32"/>
    <s v="AMINA AYMAN S. NAJEM"/>
    <d v="2026-01-19T00:00:00"/>
    <x v="0"/>
    <x v="0"/>
    <m/>
    <d v="2026-02-10T00:00:00"/>
    <n v="0"/>
    <d v="2026-07-18T00:00:00"/>
    <s v=""/>
    <m/>
    <n v="0"/>
    <d v="2027-01-19T00:00:00"/>
  </r>
  <r>
    <n v="34"/>
    <x v="6"/>
    <x v="33"/>
    <s v="BAYAN ADEL J. ALARAYEDH"/>
    <d v="2026-01-19T00:00:00"/>
    <x v="0"/>
    <x v="0"/>
    <m/>
    <d v="2026-02-10T00:00:00"/>
    <n v="0"/>
    <d v="2026-07-18T00:00:00"/>
    <s v=""/>
    <m/>
    <n v="0"/>
    <d v="2027-01-19T00:00:00"/>
  </r>
  <r>
    <n v="35"/>
    <x v="0"/>
    <x v="34"/>
    <s v="SAYED JAAFAR EBRAHIM JAAFAR NEMAA"/>
    <d v="2026-02-08T00:00:00"/>
    <x v="0"/>
    <x v="0"/>
    <m/>
    <d v="2026-02-25T00:00:00"/>
    <n v="0"/>
    <d v="2026-08-07T00:00:00"/>
    <s v=""/>
    <m/>
    <n v="0"/>
    <d v="2027-02-08T00:00:00"/>
  </r>
  <r>
    <n v="36"/>
    <x v="0"/>
    <x v="35"/>
    <s v="YASER SALMAN EBRAHIM MAHDI"/>
    <d v="2026-02-17T00:00:00"/>
    <x v="0"/>
    <x v="0"/>
    <s v="this payment is done for 12 months"/>
    <d v="2025-02-25T00:00:00"/>
    <n v="0"/>
    <d v="2026-08-16T00:00:00"/>
    <s v=""/>
    <d v="2025-08-21T00:00:00"/>
    <n v="0"/>
    <d v="2027-02-17T00:00:00"/>
  </r>
  <r>
    <n v="37"/>
    <x v="1"/>
    <x v="36"/>
    <s v="Mariam Samir Ali"/>
    <d v="2026-02-09T00:00:00"/>
    <x v="1"/>
    <x v="1"/>
    <s v="Not registered in SIO"/>
    <m/>
    <n v="1"/>
    <d v="2026-08-08T00:00:00"/>
    <s v=""/>
    <m/>
    <n v="0"/>
    <d v="2027-02-09T00:00:00"/>
  </r>
  <r>
    <n v="38"/>
    <x v="3"/>
    <x v="37"/>
    <s v="FATEMA HASAN JASIM HASAN AHMED"/>
    <d v="2026-02-22T00:00:00"/>
    <x v="1"/>
    <x v="0"/>
    <m/>
    <m/>
    <n v="1"/>
    <d v="2026-08-21T00:00:00"/>
    <s v=""/>
    <m/>
    <n v="0"/>
    <d v="2027-02-22T00:00:00"/>
  </r>
  <r>
    <n v="39"/>
    <x v="4"/>
    <x v="38"/>
    <s v="Hessa al doserri "/>
    <d v="2026-02-18T00:00:00"/>
    <x v="1"/>
    <x v="0"/>
    <m/>
    <m/>
    <n v="1"/>
    <d v="2026-08-17T00:00:00"/>
    <s v=""/>
    <m/>
    <n v="0"/>
    <d v="2027-02-18T00:00:00"/>
  </r>
  <r>
    <n v="40"/>
    <x v="1"/>
    <x v="39"/>
    <s v="MARYAM MOHAMED A. ALMUQAHWI"/>
    <d v="2026-02-08T00:00:00"/>
    <x v="1"/>
    <x v="1"/>
    <s v="Not registered in SIO"/>
    <m/>
    <n v="1"/>
    <d v="2026-08-07T00:00:00"/>
    <s v=""/>
    <m/>
    <n v="0"/>
    <d v="2027-02-08T00:00:00"/>
  </r>
  <r>
    <n v="41"/>
    <x v="1"/>
    <x v="40"/>
    <s v="Sharifa Abdulrazzaq Hasan"/>
    <d v="2026-02-18T00:00:00"/>
    <x v="0"/>
    <x v="1"/>
    <m/>
    <d v="2026-02-23T00:00:00"/>
    <n v="0"/>
    <d v="2026-08-17T00:00:00"/>
    <s v=""/>
    <m/>
    <n v="0"/>
    <d v="2027-02-18T00:00:00"/>
  </r>
  <r>
    <n v="42"/>
    <x v="0"/>
    <x v="41"/>
    <s v="AMMAR SALEH HASAN AHMED ALI"/>
    <d v="2025-08-24T00:00:00"/>
    <x v="0"/>
    <x v="0"/>
    <s v="this payment is done for 6months"/>
    <d v="2025-09-21T00:00:00"/>
    <n v="0"/>
    <d v="2026-02-20T00:00:00"/>
    <s v=""/>
    <d v="2026-02-24T00:00:00"/>
    <n v="0"/>
    <d v="2026-08-24T00:00:00"/>
  </r>
  <r>
    <n v="43"/>
    <x v="0"/>
    <x v="42"/>
    <s v="ALI HUSAIN ABDULLA KAD FARDAN"/>
    <d v="2025-08-17T00:00:00"/>
    <x v="0"/>
    <x v="0"/>
    <s v="this payment is done for 6months"/>
    <d v="2025-08-20T00:00:00"/>
    <n v="0"/>
    <d v="2026-02-13T00:00:00"/>
    <s v=""/>
    <d v="2026-02-26T00:00:00"/>
    <n v="0"/>
    <d v="2026-08-17T00:00:00"/>
  </r>
  <r>
    <n v="44"/>
    <x v="1"/>
    <x v="43"/>
    <s v="Fatima Mukhtar"/>
    <d v="2026-02-15T00:00:00"/>
    <x v="0"/>
    <x v="1"/>
    <m/>
    <d v="2026-04-16T00:00:00"/>
    <n v="0"/>
    <d v="2026-08-14T00:00:00"/>
    <s v=""/>
    <m/>
    <n v="0"/>
    <d v="2027-02-15T00:00:00"/>
  </r>
  <r>
    <n v="45"/>
    <x v="1"/>
    <x v="44"/>
    <s v="MARYAM A.JALIL ABDULLA HASAN ABDULLA SARHAN"/>
    <d v="2026-02-15T00:00:00"/>
    <x v="1"/>
    <x v="0"/>
    <s v="Not registered in SIO"/>
    <m/>
    <n v="1"/>
    <d v="2026-08-14T00:00:00"/>
    <s v=""/>
    <m/>
    <n v="0"/>
    <d v="2027-02-15T00:00:00"/>
  </r>
  <r>
    <n v="46"/>
    <x v="1"/>
    <x v="45"/>
    <s v="Naba Zuhair AlElaiwat"/>
    <d v="2026-02-23T00:00:00"/>
    <x v="0"/>
    <x v="1"/>
    <m/>
    <d v="2026-04-21T00:00:00"/>
    <n v="0"/>
    <d v="2026-08-22T00:00:00"/>
    <s v=""/>
    <m/>
    <n v="0"/>
    <d v="2027-02-23T00:00:00"/>
  </r>
  <r>
    <n v="47"/>
    <x v="0"/>
    <x v="46"/>
    <s v="Noora Faqir"/>
    <d v="2025-03-05T00:00:00"/>
    <x v="0"/>
    <x v="0"/>
    <s v="this payment is done for 12 months"/>
    <d v="2025-03-06T00:00:00"/>
    <n v="0"/>
    <d v="2025-09-01T00:00:00"/>
    <s v=""/>
    <d v="2025-09-07T00:00:00"/>
    <n v="0"/>
    <d v="2026-03-05T00:00:00"/>
  </r>
  <r>
    <n v="48"/>
    <x v="1"/>
    <x v="47"/>
    <s v="Ameera Husain Hamad"/>
    <d v="2026-03-01T00:00:00"/>
    <x v="0"/>
    <x v="0"/>
    <m/>
    <d v="2025-03-08T00:00:00"/>
    <n v="0"/>
    <d v="2026-08-28T00:00:00"/>
    <s v=""/>
    <m/>
    <n v="0"/>
    <d v="2027-03-01T00:00:00"/>
  </r>
  <r>
    <n v="49"/>
    <x v="0"/>
    <x v="48"/>
    <s v="Sayed Moosa Mahdi Alawi Mohsen Ahmed"/>
    <d v="2025-03-09T00:00:00"/>
    <x v="0"/>
    <x v="0"/>
    <s v="this payment is done for 12 months"/>
    <d v="2025-03-20T00:00:00"/>
    <n v="0"/>
    <d v="2025-09-05T00:00:00"/>
    <s v=""/>
    <d v="2025-09-09T00:00:00"/>
    <n v="0"/>
    <d v="2026-03-09T00:00:00"/>
  </r>
  <r>
    <n v="50"/>
    <x v="0"/>
    <x v="49"/>
    <s v="KARAR HUSAM ALI YATEEM"/>
    <d v="2025-09-11T00:00:00"/>
    <x v="0"/>
    <x v="0"/>
    <s v="this payment is done for 12 months"/>
    <d v="2025-10-01T00:00:00"/>
    <n v="0"/>
    <d v="2026-03-10T00:00:00"/>
    <s v=""/>
    <d v="2026-03-12T00:00:00"/>
    <n v="0"/>
    <d v="2026-09-11T00:00:00"/>
  </r>
  <r>
    <n v="51"/>
    <x v="0"/>
    <x v="50"/>
    <s v="HASAN  FADHEL HASAN ISMAEEL  ALI"/>
    <d v="2025-09-14T00:00:00"/>
    <x v="0"/>
    <x v="0"/>
    <s v="this payment is done for 6months"/>
    <d v="2025-09-15T00:00:00"/>
    <n v="0"/>
    <d v="2026-03-13T00:00:00"/>
    <s v=""/>
    <d v="2026-03-15T00:00:00"/>
    <n v="0"/>
    <d v="2026-09-14T00:00:00"/>
  </r>
  <r>
    <n v="52"/>
    <x v="0"/>
    <x v="51"/>
    <s v="Shuaib hasan Rustam"/>
    <d v="2025-03-23T00:00:00"/>
    <x v="0"/>
    <x v="0"/>
    <s v="this payment is done for 12 months"/>
    <d v="2025-03-24T00:00:00"/>
    <n v="0"/>
    <d v="2025-09-19T00:00:00"/>
    <s v=""/>
    <d v="2025-09-23T00:00:00"/>
    <n v="0"/>
    <d v="2026-03-23T00:00:00"/>
  </r>
  <r>
    <n v="53"/>
    <x v="0"/>
    <x v="52"/>
    <s v="ALI SALMAN HASAN ALI"/>
    <d v="2025-09-22T00:00:00"/>
    <x v="0"/>
    <x v="0"/>
    <s v="this payment is done for 6 months"/>
    <d v="2025-09-22T00:00:00"/>
    <n v="0"/>
    <d v="2026-03-21T00:00:00"/>
    <s v=""/>
    <d v="2026-03-31T00:00:00"/>
    <n v="0"/>
    <d v="2026-09-22T00:00:00"/>
  </r>
  <r>
    <n v="54"/>
    <x v="0"/>
    <x v="53"/>
    <s v="AMMAR SAYED YASER SAEED MOHAMED"/>
    <d v="2025-09-22T00:00:00"/>
    <x v="0"/>
    <x v="0"/>
    <s v="this payment is done for 6 months"/>
    <d v="2025-09-22T00:00:00"/>
    <n v="0"/>
    <d v="2026-03-21T00:00:00"/>
    <s v=""/>
    <d v="2026-03-31T00:00:00"/>
    <n v="0"/>
    <d v="2026-09-22T00:00:00"/>
  </r>
  <r>
    <n v="55"/>
    <x v="1"/>
    <x v="54"/>
    <s v="Bader Abdulnabi Ebrahim"/>
    <d v="2025-09-21T00:00:00"/>
    <x v="0"/>
    <x v="0"/>
    <s v="this payment is done for 6 months"/>
    <d v="2025-09-24T00:00:00"/>
    <n v="0"/>
    <d v="2026-03-20T00:00:00"/>
    <s v=""/>
    <d v="2026-03-11T00:00:00"/>
    <n v="0"/>
    <d v="2026-09-21T00:00:00"/>
  </r>
  <r>
    <n v="56"/>
    <x v="1"/>
    <x v="55"/>
    <s v="فاطمه حسن الليث"/>
    <d v="2025-09-21T00:00:00"/>
    <x v="0"/>
    <x v="0"/>
    <m/>
    <d v="2025-09-24T00:00:00"/>
    <n v="0"/>
    <d v="2026-03-20T00:00:00"/>
    <s v=""/>
    <d v="2026-03-11T00:00:00"/>
    <n v="0"/>
    <d v="2026-09-21T00:00:00"/>
  </r>
  <r>
    <n v="57"/>
    <x v="0"/>
    <x v="56"/>
    <s v="ساره ساتر"/>
    <d v="2025-03-24T00:00:00"/>
    <x v="0"/>
    <x v="0"/>
    <s v="this payment is done for 6 months"/>
    <d v="2025-03-27T00:00:00"/>
    <n v="0"/>
    <d v="2025-09-20T00:00:00"/>
    <s v=""/>
    <d v="2025-09-24T00:00:00"/>
    <n v="0"/>
    <d v="2026-03-24T00:00:00"/>
  </r>
  <r>
    <n v="58"/>
    <x v="8"/>
    <x v="57"/>
    <s v="MAHDI MOHAMED MAHDI ALI"/>
    <d v="2025-05-15T00:00:00"/>
    <x v="0"/>
    <x v="0"/>
    <s v="this payment is done for 6 months"/>
    <d v="2025-05-15T00:00:00"/>
    <n v="0"/>
    <d v="2025-11-11T00:00:00"/>
    <s v=""/>
    <d v="2025-12-07T00:00:00"/>
    <n v="0"/>
    <d v="2026-05-15T00:00:00"/>
  </r>
  <r>
    <n v="59"/>
    <x v="2"/>
    <x v="58"/>
    <s v="MAJED MOHAMED ALI MOHSEN ZABAR"/>
    <d v="2025-09-22T00:00:00"/>
    <x v="0"/>
    <x v="0"/>
    <s v="this payment is done for 6 months"/>
    <d v="2025-03-12T00:00:00"/>
    <n v="0"/>
    <d v="2026-03-21T00:00:00"/>
    <s v=""/>
    <d v="2026-03-31T00:00:00"/>
    <n v="0"/>
    <d v="2026-09-22T00:00:00"/>
  </r>
  <r>
    <n v="60"/>
    <x v="3"/>
    <x v="59"/>
    <s v="KHADIJA FAISAL ALIJASI AHMED"/>
    <d v="2025-01-11T00:00:00"/>
    <x v="1"/>
    <x v="0"/>
    <m/>
    <m/>
    <n v="1"/>
    <d v="2025-07-10T00:00:00"/>
    <s v="Claimable"/>
    <m/>
    <n v="1"/>
    <d v="2026-01-11T00:00:00"/>
  </r>
  <r>
    <n v="61"/>
    <x v="1"/>
    <x v="60"/>
    <s v="ZAINAB MOHAMED GHULOOM ALI"/>
    <d v="2025-06-03T00:00:00"/>
    <x v="0"/>
    <x v="0"/>
    <s v="this payment is done for 6 months"/>
    <d v="2026-06-03T00:00:00"/>
    <n v="0"/>
    <d v="2025-11-30T00:00:00"/>
    <s v=""/>
    <d v="2025-12-07T00:00:00"/>
    <n v="0"/>
    <d v="2026-06-03T00:00:00"/>
  </r>
  <r>
    <n v="62"/>
    <x v="0"/>
    <x v="61"/>
    <s v="SAKINA ALI"/>
    <d v="2026-03-14T00:00:00"/>
    <x v="0"/>
    <x v="0"/>
    <m/>
    <d v="2026-04-17T00:00:00"/>
    <n v="0"/>
    <d v="2026-09-10T00:00:00"/>
    <s v=""/>
    <m/>
    <n v="0"/>
    <d v="2027-03-14T00:00:00"/>
  </r>
  <r>
    <n v="63"/>
    <x v="0"/>
    <x v="62"/>
    <s v="السيد جعفر ناصر"/>
    <d v="2026-03-14T00:00:00"/>
    <x v="0"/>
    <x v="0"/>
    <m/>
    <d v="2026-04-17T00:00:00"/>
    <n v="0"/>
    <d v="2026-09-10T00:00:00"/>
    <s v=""/>
    <m/>
    <n v="0"/>
    <d v="2027-03-14T00:00:00"/>
  </r>
  <r>
    <n v="64"/>
    <x v="1"/>
    <x v="63"/>
    <s v="HASAN AQEEL ALI HASAN ALJESHI"/>
    <d v="2025-06-11T00:00:00"/>
    <x v="0"/>
    <x v="0"/>
    <s v="this payment is done for 6 months"/>
    <d v="2025-06-11T00:00:00"/>
    <n v="0"/>
    <d v="2025-12-08T00:00:00"/>
    <s v=""/>
    <d v="2025-12-07T00:00:00"/>
    <n v="0"/>
    <d v="2026-06-11T00:00:00"/>
  </r>
  <r>
    <n v="65"/>
    <x v="5"/>
    <x v="64"/>
    <s v="sayed ali noordeen ali"/>
    <d v="2025-12-21T00:00:00"/>
    <x v="0"/>
    <x v="0"/>
    <m/>
    <d v="2026-04-15T00:00:00"/>
    <n v="0"/>
    <d v="2026-06-19T00:00:00"/>
    <s v=""/>
    <m/>
    <n v="0"/>
    <d v="2026-12-21T00:00:00"/>
  </r>
  <r>
    <n v="66"/>
    <x v="3"/>
    <x v="65"/>
    <s v="ALI HUSAIN SAEED ABDULWAHAB ALRADHI"/>
    <d v="2026-01-25T00:00:00"/>
    <x v="0"/>
    <x v="0"/>
    <m/>
    <d v="2026-04-15T00:00:00"/>
    <n v="0"/>
    <d v="2026-07-24T00:00:00"/>
    <s v=""/>
    <m/>
    <n v="0"/>
    <d v="2027-01-25T00:00:00"/>
  </r>
  <r>
    <n v="67"/>
    <x v="3"/>
    <x v="66"/>
    <s v="Kadhem Ahmed Kadhem"/>
    <d v="2026-01-25T00:00:00"/>
    <x v="0"/>
    <x v="0"/>
    <m/>
    <d v="2026-04-15T00:00:00"/>
    <n v="0"/>
    <d v="2026-07-24T00:00:00"/>
    <s v=""/>
    <m/>
    <n v="0"/>
    <d v="2027-01-25T00:00:00"/>
  </r>
  <r>
    <n v="68"/>
    <x v="2"/>
    <x v="67"/>
    <s v="ALI ABDULREDHA AHMED KHORRAMI"/>
    <d v="2026-01-25T00:00:00"/>
    <x v="0"/>
    <x v="0"/>
    <m/>
    <d v="2026-04-15T00:00:00"/>
    <n v="0"/>
    <d v="2026-07-24T00:00:00"/>
    <s v=""/>
    <m/>
    <n v="0"/>
    <d v="2027-01-25T00:00:00"/>
  </r>
  <r>
    <n v="69"/>
    <x v="3"/>
    <x v="68"/>
    <s v="Ali maki Abbas"/>
    <d v="2026-01-25T00:00:00"/>
    <x v="0"/>
    <x v="0"/>
    <m/>
    <d v="2026-04-15T00:00:00"/>
    <n v="0"/>
    <d v="2026-07-24T00:00:00"/>
    <s v=""/>
    <m/>
    <n v="0"/>
    <d v="2027-01-25T00:00:00"/>
  </r>
  <r>
    <n v="70"/>
    <x v="3"/>
    <x v="69"/>
    <s v="FATEMA JASIM AHMED SALEH"/>
    <d v="2026-04-01T00:00:00"/>
    <x v="1"/>
    <x v="1"/>
    <s v="Application not approved by Tamkeen"/>
    <m/>
    <n v="1"/>
    <d v="2026-09-28T00:00:00"/>
    <s v=""/>
    <m/>
    <n v="0"/>
    <d v="2027-04-01T00:00:00"/>
  </r>
  <r>
    <n v="71"/>
    <x v="1"/>
    <x v="70"/>
    <s v="Maryam Abbas Ahmed Ebrahim Abdulla Almeftah"/>
    <d v="2026-03-30T00:00:00"/>
    <x v="0"/>
    <x v="1"/>
    <m/>
    <d v="2026-04-21T00:00:00"/>
    <n v="0"/>
    <d v="2026-09-26T00:00:00"/>
    <s v=""/>
    <m/>
    <n v="0"/>
    <d v="2027-03-30T00:00:00"/>
  </r>
  <r>
    <n v="72"/>
    <x v="0"/>
    <x v="71"/>
    <s v="MOHAMED AHMED ALI AHMED HUSAIN"/>
    <d v="2026-03-25T00:00:00"/>
    <x v="0"/>
    <x v="0"/>
    <m/>
    <d v="2026-04-18T00:00:00"/>
    <n v="0"/>
    <d v="2026-09-21T00:00:00"/>
    <s v=""/>
    <m/>
    <n v="0"/>
    <d v="2027-03-25T00:00:00"/>
  </r>
  <r>
    <n v="73"/>
    <x v="3"/>
    <x v="72"/>
    <s v="REEMA ARSALAN JASIM ARAYEDH"/>
    <d v="2026-04-05T00:00:00"/>
    <x v="1"/>
    <x v="0"/>
    <s v="SIO not registered yet"/>
    <m/>
    <n v="1"/>
    <d v="2026-10-02T00:00:00"/>
    <s v=""/>
    <m/>
    <n v="0"/>
    <d v="2027-04-05T00:00:00"/>
  </r>
  <r>
    <n v="74"/>
    <x v="0"/>
    <x v="73"/>
    <s v="HASAN MAHDI NASER ALKHABBAZ"/>
    <d v="2026-03-18T00:00:00"/>
    <x v="0"/>
    <x v="1"/>
    <m/>
    <d v="2026-04-18T00:00:00"/>
    <n v="0"/>
    <d v="2026-09-14T00:00:00"/>
    <s v=""/>
    <m/>
    <n v="0"/>
    <d v="2027-03-18T00:00:00"/>
  </r>
  <r>
    <n v="75"/>
    <x v="1"/>
    <x v="74"/>
    <s v="ALI MAHROOS"/>
    <d v="2026-04-01T00:00:00"/>
    <x v="0"/>
    <x v="1"/>
    <m/>
    <d v="2026-04-21T00:00:00"/>
    <n v="0"/>
    <d v="2026-09-28T00:00:00"/>
    <s v=""/>
    <m/>
    <n v="0"/>
    <d v="2027-04-01T00:00:00"/>
  </r>
  <r>
    <n v="76"/>
    <x v="1"/>
    <x v="75"/>
    <s v="KAWTHAR HUSAIN MAKI A DEKHEEL"/>
    <d v="2026-04-01T00:00:00"/>
    <x v="1"/>
    <x v="0"/>
    <m/>
    <m/>
    <n v="1"/>
    <d v="2026-09-28T00:00:00"/>
    <s v=""/>
    <m/>
    <n v="0"/>
    <d v="2027-04-01T00:00:00"/>
  </r>
  <r>
    <n v="77"/>
    <x v="6"/>
    <x v="76"/>
    <s v="Maryam Akbar Murad"/>
    <d v="2026-03-23T00:00:00"/>
    <x v="1"/>
    <x v="0"/>
    <m/>
    <m/>
    <n v="1"/>
    <d v="2026-09-19T00:00:00"/>
    <s v=""/>
    <m/>
    <n v="0"/>
    <d v="2027-03-23T00:00:00"/>
  </r>
  <r>
    <n v="78"/>
    <x v="3"/>
    <x v="77"/>
    <s v="Yusuf Ebrahim Yusuf Ahmed Fulad"/>
    <d v="2026-02-08T00:00:00"/>
    <x v="1"/>
    <x v="1"/>
    <s v="Application canceled"/>
    <m/>
    <n v="1"/>
    <d v="2026-08-07T00:00:00"/>
    <s v=""/>
    <m/>
    <n v="0"/>
    <d v="2027-02-08T00:00:00"/>
  </r>
  <r>
    <n v="79"/>
    <x v="5"/>
    <x v="78"/>
    <s v="Sayed Mohammed ALI Albahraini"/>
    <d v="2026-02-08T00:00:00"/>
    <x v="0"/>
    <x v="0"/>
    <m/>
    <d v="2026-04-15T00:00:00"/>
    <n v="0"/>
    <d v="2026-08-07T00:00:00"/>
    <s v=""/>
    <m/>
    <n v="0"/>
    <d v="2027-02-08T00:00:00"/>
  </r>
  <r>
    <n v="80"/>
    <x v="5"/>
    <x v="79"/>
    <s v="JASIM MOHAMED SALEH SALEH"/>
    <d v="2026-02-01T00:00:00"/>
    <x v="1"/>
    <x v="1"/>
    <s v="need to be transfered to our center"/>
    <m/>
    <n v="1"/>
    <d v="2026-07-31T00:00:00"/>
    <s v=""/>
    <m/>
    <n v="0"/>
    <d v="2027-02-01T00:00:00"/>
  </r>
  <r>
    <n v="81"/>
    <x v="5"/>
    <x v="80"/>
    <s v="JAAFAR KADHEM HUSAIN HABIB KADHEM ALJABOORI"/>
    <d v="2026-02-08T00:00:00"/>
    <x v="1"/>
    <x v="1"/>
    <s v="need to be transfered to our center"/>
    <m/>
    <n v="1"/>
    <d v="2026-08-07T00:00:00"/>
    <s v=""/>
    <m/>
    <n v="0"/>
    <d v="2027-02-08T00:00:00"/>
  </r>
  <r>
    <n v="82"/>
    <x v="2"/>
    <x v="81"/>
    <s v="Husain Hasan Ali"/>
    <d v="2026-02-15T00:00:00"/>
    <x v="1"/>
    <x v="1"/>
    <s v="need to be transfered to our center"/>
    <m/>
    <n v="1"/>
    <d v="2026-08-14T00:00:00"/>
    <s v=""/>
    <m/>
    <n v="0"/>
    <d v="2027-02-15T00:00:00"/>
  </r>
  <r>
    <n v="83"/>
    <x v="3"/>
    <x v="82"/>
    <s v="HUSAIN EBRAHIM JASIM EBRAHIM"/>
    <d v="2026-02-15T00:00:00"/>
    <x v="0"/>
    <x v="0"/>
    <m/>
    <d v="2026-04-15T00:00:00"/>
    <n v="0"/>
    <d v="2026-08-14T00:00:00"/>
    <s v=""/>
    <m/>
    <n v="0"/>
    <d v="2027-02-15T00:00:00"/>
  </r>
  <r>
    <n v="84"/>
    <x v="3"/>
    <x v="83"/>
    <s v="hasan husain ebrahim"/>
    <d v="2026-02-22T00:00:00"/>
    <x v="1"/>
    <x v="1"/>
    <s v="need to be transfered to our center"/>
    <m/>
    <n v="1"/>
    <d v="2026-08-21T00:00:00"/>
    <s v=""/>
    <m/>
    <n v="0"/>
    <d v="2027-02-22T00:00:00"/>
  </r>
  <r>
    <n v="85"/>
    <x v="3"/>
    <x v="84"/>
    <s v="HASAN ABDULZAHRA ASHO DHABAAN"/>
    <d v="2026-02-15T00:00:00"/>
    <x v="1"/>
    <x v="1"/>
    <s v="need to be transfered to our center"/>
    <m/>
    <n v="1"/>
    <d v="2026-08-14T00:00:00"/>
    <s v=""/>
    <m/>
    <n v="0"/>
    <d v="2027-02-15T00:00:00"/>
  </r>
  <r>
    <n v="86"/>
    <x v="5"/>
    <x v="85"/>
    <s v="FOZAN KHAN MANZOOR Ali MUZAFFAR"/>
    <d v="2026-02-15T00:00:00"/>
    <x v="1"/>
    <x v="1"/>
    <s v="need to be transfered to our center"/>
    <m/>
    <n v="1"/>
    <d v="2026-08-14T00:00:00"/>
    <s v=""/>
    <m/>
    <n v="0"/>
    <d v="2027-02-15T00:00:00"/>
  </r>
  <r>
    <n v="87"/>
    <x v="3"/>
    <x v="86"/>
    <s v="faisal ahmed ahmed shah gul salam hashmi"/>
    <d v="2026-02-01T00:00:00"/>
    <x v="0"/>
    <x v="0"/>
    <m/>
    <d v="2026-04-16T00:00:00"/>
    <n v="0"/>
    <d v="2026-07-31T00:00:00"/>
    <s v=""/>
    <m/>
    <n v="0"/>
    <d v="2027-02-01T00:00:00"/>
  </r>
  <r>
    <n v="88"/>
    <x v="5"/>
    <x v="87"/>
    <s v="Faisal Ghulam Mohd"/>
    <d v="2026-03-17T00:00:00"/>
    <x v="1"/>
    <x v="1"/>
    <s v="need to be transfered to our center"/>
    <m/>
    <n v="1"/>
    <d v="2026-09-13T00:00:00"/>
    <s v=""/>
    <m/>
    <n v="0"/>
    <d v="2027-03-17T00:00:00"/>
  </r>
  <r>
    <n v="89"/>
    <x v="2"/>
    <x v="88"/>
    <s v="BASEL SHAKER ALI MANSOOR ALI"/>
    <d v="2026-02-08T00:00:00"/>
    <x v="1"/>
    <x v="1"/>
    <s v="need to be transfered to our center"/>
    <m/>
    <n v="1"/>
    <d v="2026-08-07T00:00:00"/>
    <s v=""/>
    <m/>
    <n v="0"/>
    <d v="2027-02-08T00:00:00"/>
  </r>
  <r>
    <n v="90"/>
    <x v="1"/>
    <x v="89"/>
    <s v="Ali Mohsin Abdali"/>
    <d v="2026-02-08T00:00:00"/>
    <x v="1"/>
    <x v="1"/>
    <s v="Application pending individual"/>
    <m/>
    <n v="1"/>
    <d v="2026-08-07T00:00:00"/>
    <s v=""/>
    <m/>
    <n v="0"/>
    <d v="2027-02-08T00:00:00"/>
  </r>
  <r>
    <n v="91"/>
    <x v="5"/>
    <x v="90"/>
    <s v="ali abbas abdali"/>
    <d v="2026-02-08T00:00:00"/>
    <x v="0"/>
    <x v="0"/>
    <m/>
    <d v="2026-04-16T00:00:00"/>
    <n v="0"/>
    <d v="2026-08-07T00:00:00"/>
    <s v=""/>
    <m/>
    <n v="0"/>
    <d v="2027-02-08T00:00:00"/>
  </r>
  <r>
    <n v="92"/>
    <x v="2"/>
    <x v="91"/>
    <s v="Abdulla Hussain Abdulla"/>
    <d v="2026-02-08T00:00:00"/>
    <x v="0"/>
    <x v="0"/>
    <m/>
    <d v="2026-04-16T00:00:00"/>
    <n v="0"/>
    <d v="2026-08-07T00:00:00"/>
    <s v=""/>
    <m/>
    <n v="0"/>
    <d v="2027-02-08T00:00:00"/>
  </r>
  <r>
    <n v="93"/>
    <x v="5"/>
    <x v="92"/>
    <s v="AAMER ALI HASAN ALMUTAWA"/>
    <d v="2026-02-25T00:00:00"/>
    <x v="1"/>
    <x v="1"/>
    <s v="need to be transfered to our center"/>
    <m/>
    <n v="1"/>
    <d v="2026-08-24T00:00:00"/>
    <s v=""/>
    <m/>
    <n v="0"/>
    <d v="2027-02-25T00:00:00"/>
  </r>
  <r>
    <n v="94"/>
    <x v="2"/>
    <x v="93"/>
    <s v="mohammed ashoor hasan"/>
    <d v="2026-02-15T00:00:00"/>
    <x v="0"/>
    <x v="0"/>
    <m/>
    <d v="2026-04-16T00:00:00"/>
    <n v="0"/>
    <d v="2026-08-14T00:00:00"/>
    <s v=""/>
    <m/>
    <n v="0"/>
    <d v="2027-02-15T00:00:00"/>
  </r>
  <r>
    <n v="95"/>
    <x v="5"/>
    <x v="94"/>
    <s v="HASAN JAAFAR MOHAMED ALAALI"/>
    <d v="2026-02-17T00:00:00"/>
    <x v="0"/>
    <x v="0"/>
    <m/>
    <d v="2026-04-16T00:00:00"/>
    <n v="0"/>
    <d v="2026-08-16T00:00:00"/>
    <s v=""/>
    <m/>
    <n v="0"/>
    <d v="2027-02-17T00:00:00"/>
  </r>
  <r>
    <n v="96"/>
    <x v="1"/>
    <x v="95"/>
    <s v="ali hassan abdulla"/>
    <d v="2026-04-12T00:00:00"/>
    <x v="1"/>
    <x v="1"/>
    <m/>
    <m/>
    <n v="1"/>
    <d v="2026-10-09T00:00:00"/>
    <s v=""/>
    <m/>
    <n v="0"/>
    <d v="2027-04-12T00:00:00"/>
  </r>
  <r>
    <n v="97"/>
    <x v="0"/>
    <x v="96"/>
    <s v=" SAYED ALAA MOOSA MOHAMED FADHEL"/>
    <d v="2025-10-01T00:00:00"/>
    <x v="1"/>
    <x v="2"/>
    <m/>
    <m/>
    <n v="1"/>
    <d v="2026-03-30T00:00:00"/>
    <s v="Claimable"/>
    <m/>
    <n v="1"/>
    <d v="2026-10-01T00:00:00"/>
  </r>
  <r>
    <n v="98"/>
    <x v="0"/>
    <x v="97"/>
    <s v=" KHALIFA EBRAHIM K. SAAD"/>
    <d v="2025-10-05T00:00:00"/>
    <x v="1"/>
    <x v="2"/>
    <m/>
    <m/>
    <n v="1"/>
    <d v="2026-04-03T00:00:00"/>
    <s v="Claimable"/>
    <m/>
    <n v="1"/>
    <d v="2026-10-05T00:00:00"/>
  </r>
  <r>
    <n v="99"/>
    <x v="0"/>
    <x v="98"/>
    <s v="EBRAHIM NAEEM A. MARHOON"/>
    <d v="2025-10-09T00:00:00"/>
    <x v="1"/>
    <x v="2"/>
    <m/>
    <m/>
    <n v="1"/>
    <d v="2026-04-07T00:00:00"/>
    <s v="Claimable"/>
    <m/>
    <n v="1"/>
    <d v="2026-10-09T00:00:00"/>
  </r>
  <r>
    <n v="100"/>
    <x v="0"/>
    <x v="99"/>
    <s v="ALI HAFEDH ALI BUKAMAL"/>
    <d v="2025-10-12T00:00:00"/>
    <x v="1"/>
    <x v="2"/>
    <m/>
    <m/>
    <n v="1"/>
    <d v="2026-04-10T00:00:00"/>
    <s v="Claimable"/>
    <m/>
    <n v="1"/>
    <d v="2026-10-12T00:00:00"/>
  </r>
  <r>
    <n v="101"/>
    <x v="0"/>
    <x v="100"/>
    <s v=" Firas Ali  Abdulla"/>
    <d v="2025-10-12T00:00:00"/>
    <x v="1"/>
    <x v="2"/>
    <m/>
    <m/>
    <n v="1"/>
    <d v="2026-04-10T00:00:00"/>
    <s v="Claimable"/>
    <m/>
    <n v="1"/>
    <d v="2026-10-12T00:00:00"/>
  </r>
  <r>
    <n v="102"/>
    <x v="0"/>
    <x v="101"/>
    <s v="ALI GHULAM MOHAMED AMEERI"/>
    <d v="2025-10-01T00:00:00"/>
    <x v="1"/>
    <x v="2"/>
    <m/>
    <m/>
    <n v="1"/>
    <d v="2026-03-30T00:00:00"/>
    <s v="Claimable"/>
    <m/>
    <n v="1"/>
    <d v="2026-10-01T00:00:00"/>
  </r>
  <r>
    <n v="103"/>
    <x v="0"/>
    <x v="102"/>
    <s v="hasan mohamed taqi"/>
    <d v="2025-04-13T00:00:00"/>
    <x v="1"/>
    <x v="2"/>
    <m/>
    <m/>
    <n v="1"/>
    <d v="2025-10-10T00:00:00"/>
    <s v="Claimable"/>
    <m/>
    <n v="1"/>
    <d v="2026-04-13T00:00:00"/>
  </r>
  <r>
    <n v="104"/>
    <x v="3"/>
    <x v="103"/>
    <s v=" فاطمه جاسم عبدالله"/>
    <d v="2026-04-01T00:00:00"/>
    <x v="1"/>
    <x v="2"/>
    <m/>
    <m/>
    <n v="1"/>
    <d v="2026-09-28T00:00:00"/>
    <s v=""/>
    <m/>
    <n v="0"/>
    <d v="2027-04-01T00:00:00"/>
  </r>
  <r>
    <n v="105"/>
    <x v="0"/>
    <x v="104"/>
    <s v=" MOHAMED ALI NAJIMO ALRAYASHI"/>
    <d v="2025-04-16T00:00:00"/>
    <x v="1"/>
    <x v="2"/>
    <m/>
    <m/>
    <n v="1"/>
    <d v="2025-10-13T00:00:00"/>
    <s v="Claimable"/>
    <m/>
    <n v="1"/>
    <d v="2026-04-16T00:00:00"/>
  </r>
  <r>
    <n v="106"/>
    <x v="0"/>
    <x v="105"/>
    <s v="AWADH ATEF M. ALATEF"/>
    <d v="2025-03-25T00:00:00"/>
    <x v="1"/>
    <x v="2"/>
    <m/>
    <m/>
    <n v="1"/>
    <d v="2025-09-21T00:00:00"/>
    <s v="Claimable"/>
    <m/>
    <n v="1"/>
    <d v="2026-03-25T00:00:00"/>
  </r>
  <r>
    <n v="107"/>
    <x v="0"/>
    <x v="106"/>
    <s v=" SAMAR AMER HASAN ZAINUDDIN"/>
    <d v="2025-04-04T00:00:00"/>
    <x v="1"/>
    <x v="2"/>
    <m/>
    <m/>
    <n v="1"/>
    <d v="2025-10-01T00:00:00"/>
    <s v="Claimable"/>
    <m/>
    <n v="1"/>
    <d v="2026-04-04T00:00:00"/>
  </r>
  <r>
    <n v="108"/>
    <x v="0"/>
    <x v="107"/>
    <s v="SAYED HASAN HAMZA HUSAIN JAAFAR"/>
    <d v="2025-04-20T00:00:00"/>
    <x v="1"/>
    <x v="2"/>
    <m/>
    <m/>
    <n v="1"/>
    <d v="2025-10-17T00:00:00"/>
    <s v="Claimable"/>
    <m/>
    <n v="1"/>
    <d v="2026-04-20T00:00:00"/>
  </r>
  <r>
    <n v="109"/>
    <x v="2"/>
    <x v="108"/>
    <s v="Abdulla Adel Heji"/>
    <d v="2025-10-01T00:00:00"/>
    <x v="2"/>
    <x v="2"/>
    <m/>
    <m/>
    <n v="1"/>
    <d v="2026-03-30T00:00:00"/>
    <s v="Claimable"/>
    <m/>
    <n v="1"/>
    <d v="2026-10-01T00:00:00"/>
  </r>
  <r>
    <n v="110"/>
    <x v="3"/>
    <x v="109"/>
    <s v="HABIB MOHAMED A. MOHAMED"/>
    <d v="2025-03-03T00:00:00"/>
    <x v="1"/>
    <x v="2"/>
    <m/>
    <m/>
    <n v="1"/>
    <d v="2025-08-30T00:00:00"/>
    <s v="Claimable"/>
    <m/>
    <n v="1"/>
    <d v="2026-03-03T00:00:00"/>
  </r>
  <r>
    <n v="111"/>
    <x v="3"/>
    <x v="110"/>
    <s v="HUSAIN ALI KHAMIS HAMMADI"/>
    <d v="2025-03-19T00:00:00"/>
    <x v="1"/>
    <x v="2"/>
    <m/>
    <m/>
    <n v="1"/>
    <d v="2025-09-15T00:00:00"/>
    <s v="Claimable"/>
    <m/>
    <n v="1"/>
    <d v="2026-03-19T00:00:00"/>
  </r>
  <r>
    <n v="112"/>
    <x v="3"/>
    <x v="111"/>
    <s v="EBRAHIM NAZAR MANSOOR ALSAGHEER"/>
    <d v="2025-03-25T00:00:00"/>
    <x v="1"/>
    <x v="2"/>
    <m/>
    <m/>
    <n v="1"/>
    <d v="2025-09-21T00:00:00"/>
    <s v="Claimable"/>
    <m/>
    <n v="1"/>
    <d v="2026-03-25T00:00:00"/>
  </r>
  <r>
    <n v="113"/>
    <x v="3"/>
    <x v="112"/>
    <s v="JASIM JAFFAR AHMEDAB ALBBARI"/>
    <d v="2025-07-25T00:00:00"/>
    <x v="1"/>
    <x v="2"/>
    <m/>
    <m/>
    <n v="1"/>
    <d v="2026-01-21T00:00:00"/>
    <s v="Claimable"/>
    <m/>
    <n v="1"/>
    <d v="2026-07-25T00:00:00"/>
  </r>
  <r>
    <n v="114"/>
    <x v="2"/>
    <x v="113"/>
    <s v="ALI FADHL S. MOHAMED"/>
    <d v="2025-02-22T00:00:00"/>
    <x v="1"/>
    <x v="2"/>
    <m/>
    <m/>
    <n v="1"/>
    <d v="2025-08-21T00:00:00"/>
    <s v="Claimable"/>
    <m/>
    <n v="1"/>
    <d v="2026-02-22T00:00:00"/>
  </r>
  <r>
    <n v="115"/>
    <x v="2"/>
    <x v="114"/>
    <s v="Saeed Abdul Khaliq Saeed Moosa"/>
    <d v="2025-04-13T00:00:00"/>
    <x v="1"/>
    <x v="2"/>
    <m/>
    <m/>
    <n v="1"/>
    <d v="2025-10-10T00:00:00"/>
    <s v="Claimable"/>
    <m/>
    <n v="1"/>
    <d v="2026-04-13T00:00:00"/>
  </r>
  <r>
    <n v="116"/>
    <x v="3"/>
    <x v="115"/>
    <s v="AHMED EBRAHIM KHAMIS AHMED"/>
    <d v="2025-08-17T00:00:00"/>
    <x v="1"/>
    <x v="2"/>
    <m/>
    <m/>
    <n v="1"/>
    <d v="2026-02-13T00:00:00"/>
    <s v="Claimable"/>
    <m/>
    <n v="1"/>
    <d v="2026-08-17T00:00:00"/>
  </r>
  <r>
    <n v="117"/>
    <x v="3"/>
    <x v="116"/>
    <s v="SHUAIB MOHAMED REDHA MOHAMED"/>
    <d v="2025-08-12T00:00:00"/>
    <x v="1"/>
    <x v="2"/>
    <m/>
    <m/>
    <n v="1"/>
    <d v="2026-02-08T00:00:00"/>
    <s v="Claimable"/>
    <m/>
    <n v="1"/>
    <d v="2026-08-12T00:00:00"/>
  </r>
  <r>
    <n v="118"/>
    <x v="3"/>
    <x v="117"/>
    <s v="AHMED BAQER ISA MAHROOS"/>
    <d v="2025-09-02T00:00:00"/>
    <x v="1"/>
    <x v="2"/>
    <m/>
    <m/>
    <n v="1"/>
    <d v="2026-03-01T00:00:00"/>
    <s v="Claimable"/>
    <m/>
    <n v="1"/>
    <d v="2026-09-02T00:00:00"/>
  </r>
  <r>
    <n v="119"/>
    <x v="2"/>
    <x v="118"/>
    <s v="Sayed Dhiyaa Husain Hashem Ali"/>
    <d v="2025-04-14T00:00:00"/>
    <x v="1"/>
    <x v="2"/>
    <m/>
    <m/>
    <n v="1"/>
    <d v="2025-10-11T00:00:00"/>
    <s v="Claimable"/>
    <m/>
    <n v="1"/>
    <d v="2026-04-14T00:00:00"/>
  </r>
  <r>
    <n v="120"/>
    <x v="2"/>
    <x v="119"/>
    <s v="SADEQ JAAFAR HABIBALI ALARAB"/>
    <d v="2024-12-08T00:00:00"/>
    <x v="1"/>
    <x v="2"/>
    <m/>
    <m/>
    <n v="1"/>
    <d v="2025-06-06T00:00:00"/>
    <s v="Claimable"/>
    <m/>
    <n v="1"/>
    <d v="2025-12-08T00:00:00"/>
  </r>
  <r>
    <n v="121"/>
    <x v="3"/>
    <x v="120"/>
    <s v="ZAHID SHARIF KHAN BAGH ABDULREHMAN"/>
    <d v="2025-09-21T00:00:00"/>
    <x v="1"/>
    <x v="2"/>
    <m/>
    <m/>
    <n v="1"/>
    <d v="2026-03-20T00:00:00"/>
    <s v="Claimable"/>
    <m/>
    <n v="1"/>
    <d v="2026-09-21T00:00:00"/>
  </r>
  <r>
    <n v="122"/>
    <x v="1"/>
    <x v="121"/>
    <s v="Hasan Aqeel Aljeshi"/>
    <d v="2025-06-11T00:00:00"/>
    <x v="0"/>
    <x v="2"/>
    <m/>
    <d v="2025-06-11T00:00:00"/>
    <n v="0"/>
    <d v="2025-12-08T00:00:00"/>
    <s v=""/>
    <d v="2025-12-07T00:00:00"/>
    <n v="0"/>
    <d v="2026-06-11T00:00:00"/>
  </r>
  <r>
    <n v="123"/>
    <x v="1"/>
    <x v="54"/>
    <s v="BADER ABDULNABI K. EBRAHIM"/>
    <d v="2025-09-21T00:00:00"/>
    <x v="0"/>
    <x v="2"/>
    <m/>
    <d v="2025-09-24T00:00:00"/>
    <n v="0"/>
    <d v="2026-03-20T00:00:00"/>
    <s v=""/>
    <d v="2026-03-11T00:00:00"/>
    <n v="0"/>
    <d v="2026-09-21T00:00:00"/>
  </r>
  <r>
    <n v="124"/>
    <x v="1"/>
    <x v="122"/>
    <s v="AYAH SHAFEEQ A. ABDULHUSAIN"/>
    <d v="2025-10-09T00:00:00"/>
    <x v="0"/>
    <x v="2"/>
    <m/>
    <d v="2025-10-16T00:00:00"/>
    <n v="0"/>
    <d v="2026-04-07T00:00:00"/>
    <s v=""/>
    <d v="2026-04-21T00:00:00"/>
    <n v="0"/>
    <d v="2026-10-09T00:00:00"/>
  </r>
  <r>
    <n v="125"/>
    <x v="1"/>
    <x v="123"/>
    <s v="ALI MANSOOR HAMAD SDAIF"/>
    <d v="2026-10-21T00:00:00"/>
    <x v="0"/>
    <x v="2"/>
    <m/>
    <d v="2025-10-27T00:00:00"/>
    <n v="0"/>
    <d v="2027-04-19T00:00:00"/>
    <s v=""/>
    <d v="2026-04-21T00:00:00"/>
    <n v="0"/>
    <d v="2027-10-21T00:00:00"/>
  </r>
  <r>
    <n v="126"/>
    <x v="1"/>
    <x v="124"/>
    <s v="SARA NASER A. ALATTAR"/>
    <s v="-"/>
    <x v="3"/>
    <x v="2"/>
    <m/>
    <d v="2025-10-29T00:00:00"/>
    <n v="0"/>
    <e v="#VALUE!"/>
    <e v="#VALUE!"/>
    <d v="2026-04-21T00:00:00"/>
    <e v="#VALUE!"/>
    <e v="#VALUE!"/>
  </r>
  <r>
    <n v="127"/>
    <x v="1"/>
    <x v="125"/>
    <s v="FATIMA ALTUHAMI BINAASHER ALABSI"/>
    <d v="2025-10-01T00:00:00"/>
    <x v="0"/>
    <x v="2"/>
    <m/>
    <d v="2025-10-29T00:00:00"/>
    <n v="0"/>
    <d v="2026-03-30T00:00:00"/>
    <s v=""/>
    <d v="2026-04-21T00:00:00"/>
    <n v="0"/>
    <d v="2026-10-01T00:00:00"/>
  </r>
  <r>
    <n v="128"/>
    <x v="1"/>
    <x v="126"/>
    <s v="ALI KHALIL BAQER EATMADI"/>
    <d v="2025-10-12T00:00:00"/>
    <x v="0"/>
    <x v="2"/>
    <m/>
    <d v="2026-04-21T00:00:00"/>
    <n v="0"/>
    <d v="2026-04-10T00:00:00"/>
    <s v=""/>
    <d v="2026-04-21T00:00:00"/>
    <n v="0"/>
    <d v="2026-10-12T00:00:00"/>
  </r>
  <r>
    <n v="129"/>
    <x v="2"/>
    <x v="127"/>
    <s v="Natheer Mohamed A.Mohsen Alshowaikh"/>
    <d v="2026-03-29T00:00:00"/>
    <x v="0"/>
    <x v="2"/>
    <m/>
    <d v="2026-04-23T00:00:00"/>
    <n v="0"/>
    <d v="2026-09-25T00:00:00"/>
    <s v=""/>
    <m/>
    <n v="0"/>
    <d v="2027-03-29T00:00:00"/>
  </r>
  <r>
    <n v="130"/>
    <x v="1"/>
    <x v="128"/>
    <s v="Ahmed Khalid "/>
    <d v="2026-04-19T00:00:00"/>
    <x v="1"/>
    <x v="2"/>
    <m/>
    <m/>
    <n v="1"/>
    <d v="2026-10-16T00:00:00"/>
    <s v=""/>
    <m/>
    <n v="0"/>
    <d v="2027-04-19T00:00:00"/>
  </r>
  <r>
    <n v="131"/>
    <x v="7"/>
    <x v="129"/>
    <n v="0"/>
    <s v="-"/>
    <x v="3"/>
    <x v="2"/>
    <m/>
    <m/>
    <n v="1"/>
    <e v="#VALUE!"/>
    <e v="#VALUE!"/>
    <m/>
    <e v="#VALUE!"/>
    <e v="#VALUE!"/>
  </r>
  <r>
    <n v="132"/>
    <x v="3"/>
    <x v="72"/>
    <s v="REEMA ARSALAN J. ARAYEDH"/>
    <d v="2026-04-05T00:00:00"/>
    <x v="1"/>
    <x v="2"/>
    <m/>
    <m/>
    <n v="1"/>
    <d v="2026-10-02T00:00:00"/>
    <s v=""/>
    <m/>
    <n v="0"/>
    <d v="2027-04-05T00:00:00"/>
  </r>
  <r>
    <n v="133"/>
    <x v="0"/>
    <x v="130"/>
    <s v="Zia Urrahman Fida"/>
    <d v="2025-04-22T00:00:00"/>
    <x v="1"/>
    <x v="2"/>
    <m/>
    <m/>
    <n v="1"/>
    <d v="2025-10-19T00:00:00"/>
    <s v="Claimable"/>
    <m/>
    <n v="1"/>
    <d v="2026-04-22T00:00:00"/>
  </r>
  <r>
    <n v="134"/>
    <x v="1"/>
    <x v="131"/>
    <s v="AHMED MOHAMMED ABDUL ALSHOALA"/>
    <s v="-"/>
    <x v="3"/>
    <x v="2"/>
    <m/>
    <m/>
    <n v="1"/>
    <e v="#VALUE!"/>
    <e v="#VALUE!"/>
    <m/>
    <e v="#VALUE!"/>
    <e v="#VALUE!"/>
  </r>
  <r>
    <n v="135"/>
    <x v="9"/>
    <x v="129"/>
    <n v="0"/>
    <s v="-"/>
    <x v="3"/>
    <x v="2"/>
    <m/>
    <m/>
    <n v="1"/>
    <e v="#VALUE!"/>
    <e v="#VALUE!"/>
    <m/>
    <e v="#VALUE!"/>
    <e v="#VALUE!"/>
  </r>
  <r>
    <n v="136"/>
    <x v="9"/>
    <x v="129"/>
    <n v="0"/>
    <s v="-"/>
    <x v="3"/>
    <x v="2"/>
    <m/>
    <m/>
    <n v="1"/>
    <e v="#VALUE!"/>
    <e v="#VALUE!"/>
    <m/>
    <e v="#VALUE!"/>
    <e v="#VALUE!"/>
  </r>
  <r>
    <n v="137"/>
    <x v="9"/>
    <x v="129"/>
    <n v="0"/>
    <s v="-"/>
    <x v="3"/>
    <x v="2"/>
    <m/>
    <m/>
    <n v="1"/>
    <e v="#VALUE!"/>
    <e v="#VALUE!"/>
    <m/>
    <e v="#VALUE!"/>
    <e v="#VALUE!"/>
  </r>
  <r>
    <n v="138"/>
    <x v="9"/>
    <x v="129"/>
    <n v="0"/>
    <s v="-"/>
    <x v="3"/>
    <x v="2"/>
    <m/>
    <m/>
    <n v="1"/>
    <e v="#VALUE!"/>
    <e v="#VALUE!"/>
    <m/>
    <e v="#VALUE!"/>
    <e v="#VALUE!"/>
  </r>
  <r>
    <n v="139"/>
    <x v="9"/>
    <x v="129"/>
    <n v="0"/>
    <s v="-"/>
    <x v="3"/>
    <x v="2"/>
    <m/>
    <m/>
    <n v="1"/>
    <e v="#VALUE!"/>
    <e v="#VALUE!"/>
    <m/>
    <e v="#VALUE!"/>
    <e v="#VALUE!"/>
  </r>
  <r>
    <n v="140"/>
    <x v="9"/>
    <x v="129"/>
    <n v="0"/>
    <s v="-"/>
    <x v="3"/>
    <x v="2"/>
    <m/>
    <m/>
    <n v="1"/>
    <e v="#VALUE!"/>
    <e v="#VALUE!"/>
    <m/>
    <e v="#VALUE!"/>
    <e v="#VALUE!"/>
  </r>
  <r>
    <n v="141"/>
    <x v="9"/>
    <x v="129"/>
    <n v="0"/>
    <s v="-"/>
    <x v="3"/>
    <x v="2"/>
    <m/>
    <m/>
    <n v="1"/>
    <e v="#VALUE!"/>
    <e v="#VALUE!"/>
    <m/>
    <e v="#VALUE!"/>
    <e v="#VALUE!"/>
  </r>
  <r>
    <n v="142"/>
    <x v="9"/>
    <x v="129"/>
    <n v="0"/>
    <s v="-"/>
    <x v="3"/>
    <x v="2"/>
    <m/>
    <m/>
    <n v="1"/>
    <e v="#VALUE!"/>
    <e v="#VALUE!"/>
    <m/>
    <e v="#VALUE!"/>
    <e v="#VALUE!"/>
  </r>
  <r>
    <n v="143"/>
    <x v="9"/>
    <x v="129"/>
    <n v="0"/>
    <s v="-"/>
    <x v="3"/>
    <x v="2"/>
    <m/>
    <m/>
    <n v="1"/>
    <e v="#VALUE!"/>
    <e v="#VALUE!"/>
    <m/>
    <e v="#VALUE!"/>
    <e v="#VALUE!"/>
  </r>
  <r>
    <n v="144"/>
    <x v="9"/>
    <x v="129"/>
    <n v="0"/>
    <s v="-"/>
    <x v="3"/>
    <x v="2"/>
    <m/>
    <m/>
    <n v="1"/>
    <e v="#VALUE!"/>
    <e v="#VALUE!"/>
    <m/>
    <e v="#VALUE!"/>
    <e v="#VALUE!"/>
  </r>
  <r>
    <n v="145"/>
    <x v="9"/>
    <x v="129"/>
    <n v="0"/>
    <s v="-"/>
    <x v="3"/>
    <x v="2"/>
    <m/>
    <m/>
    <n v="1"/>
    <e v="#VALUE!"/>
    <e v="#VALUE!"/>
    <m/>
    <e v="#VALUE!"/>
    <e v="#VALUE!"/>
  </r>
  <r>
    <n v="146"/>
    <x v="9"/>
    <x v="129"/>
    <n v="0"/>
    <s v="-"/>
    <x v="3"/>
    <x v="2"/>
    <m/>
    <m/>
    <n v="1"/>
    <e v="#VALUE!"/>
    <e v="#VALUE!"/>
    <m/>
    <e v="#VALUE!"/>
    <e v="#VALUE!"/>
  </r>
  <r>
    <n v="147"/>
    <x v="9"/>
    <x v="129"/>
    <n v="0"/>
    <s v="-"/>
    <x v="3"/>
    <x v="2"/>
    <m/>
    <m/>
    <n v="1"/>
    <e v="#VALUE!"/>
    <e v="#VALUE!"/>
    <m/>
    <e v="#VALUE!"/>
    <e v="#VALUE!"/>
  </r>
  <r>
    <n v="148"/>
    <x v="9"/>
    <x v="129"/>
    <n v="0"/>
    <s v="-"/>
    <x v="3"/>
    <x v="2"/>
    <m/>
    <m/>
    <n v="1"/>
    <e v="#VALUE!"/>
    <e v="#VALUE!"/>
    <m/>
    <e v="#VALUE!"/>
    <e v="#VALUE!"/>
  </r>
  <r>
    <n v="149"/>
    <x v="9"/>
    <x v="129"/>
    <n v="0"/>
    <s v="-"/>
    <x v="3"/>
    <x v="2"/>
    <m/>
    <m/>
    <n v="1"/>
    <e v="#VALUE!"/>
    <e v="#VALUE!"/>
    <m/>
    <e v="#VALUE!"/>
    <e v="#VALUE!"/>
  </r>
  <r>
    <n v="150"/>
    <x v="9"/>
    <x v="129"/>
    <n v="0"/>
    <s v="-"/>
    <x v="3"/>
    <x v="2"/>
    <m/>
    <m/>
    <n v="1"/>
    <e v="#VALUE!"/>
    <e v="#VALUE!"/>
    <m/>
    <e v="#VALUE!"/>
    <e v="#VALUE!"/>
  </r>
  <r>
    <n v="151"/>
    <x v="9"/>
    <x v="129"/>
    <n v="0"/>
    <s v="-"/>
    <x v="3"/>
    <x v="2"/>
    <m/>
    <m/>
    <n v="1"/>
    <e v="#VALUE!"/>
    <e v="#VALUE!"/>
    <m/>
    <e v="#VALUE!"/>
    <e v="#VALUE!"/>
  </r>
  <r>
    <n v="152"/>
    <x v="9"/>
    <x v="129"/>
    <n v="0"/>
    <s v="-"/>
    <x v="3"/>
    <x v="2"/>
    <m/>
    <m/>
    <n v="1"/>
    <e v="#VALUE!"/>
    <e v="#VALUE!"/>
    <m/>
    <e v="#VALUE!"/>
    <e v="#VALUE!"/>
  </r>
  <r>
    <n v="153"/>
    <x v="9"/>
    <x v="129"/>
    <n v="0"/>
    <s v="-"/>
    <x v="3"/>
    <x v="2"/>
    <m/>
    <m/>
    <n v="1"/>
    <e v="#VALUE!"/>
    <e v="#VALUE!"/>
    <m/>
    <e v="#VALUE!"/>
    <e v="#VALUE!"/>
  </r>
  <r>
    <n v="154"/>
    <x v="9"/>
    <x v="129"/>
    <n v="0"/>
    <s v="-"/>
    <x v="3"/>
    <x v="2"/>
    <m/>
    <m/>
    <n v="1"/>
    <e v="#VALUE!"/>
    <e v="#VALUE!"/>
    <m/>
    <e v="#VALUE!"/>
    <e v="#VALUE!"/>
  </r>
  <r>
    <n v="155"/>
    <x v="9"/>
    <x v="129"/>
    <n v="0"/>
    <s v="-"/>
    <x v="3"/>
    <x v="2"/>
    <m/>
    <m/>
    <n v="1"/>
    <e v="#VALUE!"/>
    <e v="#VALUE!"/>
    <m/>
    <e v="#VALUE!"/>
    <e v="#VALUE!"/>
  </r>
  <r>
    <n v="156"/>
    <x v="9"/>
    <x v="129"/>
    <n v="0"/>
    <s v="-"/>
    <x v="3"/>
    <x v="2"/>
    <m/>
    <m/>
    <n v="1"/>
    <e v="#VALUE!"/>
    <e v="#VALUE!"/>
    <m/>
    <e v="#VALUE!"/>
    <e v="#VALUE!"/>
  </r>
  <r>
    <n v="157"/>
    <x v="9"/>
    <x v="129"/>
    <n v="0"/>
    <s v="-"/>
    <x v="3"/>
    <x v="2"/>
    <m/>
    <m/>
    <n v="1"/>
    <e v="#VALUE!"/>
    <e v="#VALUE!"/>
    <m/>
    <e v="#VALUE!"/>
    <e v="#VALUE!"/>
  </r>
  <r>
    <n v="158"/>
    <x v="9"/>
    <x v="129"/>
    <n v="0"/>
    <s v="-"/>
    <x v="3"/>
    <x v="2"/>
    <m/>
    <m/>
    <n v="1"/>
    <e v="#VALUE!"/>
    <e v="#VALUE!"/>
    <m/>
    <e v="#VALUE!"/>
    <e v="#VALUE!"/>
  </r>
  <r>
    <n v="159"/>
    <x v="9"/>
    <x v="129"/>
    <n v="0"/>
    <s v="-"/>
    <x v="3"/>
    <x v="2"/>
    <m/>
    <m/>
    <n v="1"/>
    <e v="#VALUE!"/>
    <e v="#VALUE!"/>
    <m/>
    <e v="#VALUE!"/>
    <e v="#VALUE!"/>
  </r>
  <r>
    <n v="160"/>
    <x v="9"/>
    <x v="129"/>
    <n v="0"/>
    <s v="-"/>
    <x v="3"/>
    <x v="2"/>
    <m/>
    <m/>
    <n v="1"/>
    <e v="#VALUE!"/>
    <e v="#VALUE!"/>
    <m/>
    <e v="#VALUE!"/>
    <e v="#VALUE!"/>
  </r>
  <r>
    <n v="161"/>
    <x v="9"/>
    <x v="129"/>
    <n v="0"/>
    <s v="-"/>
    <x v="3"/>
    <x v="2"/>
    <m/>
    <m/>
    <n v="1"/>
    <e v="#VALUE!"/>
    <e v="#VALUE!"/>
    <m/>
    <e v="#VALUE!"/>
    <e v="#VALUE!"/>
  </r>
  <r>
    <n v="162"/>
    <x v="9"/>
    <x v="129"/>
    <n v="0"/>
    <s v="-"/>
    <x v="3"/>
    <x v="2"/>
    <m/>
    <m/>
    <n v="1"/>
    <e v="#VALUE!"/>
    <e v="#VALUE!"/>
    <m/>
    <e v="#VALUE!"/>
    <e v="#VALUE!"/>
  </r>
  <r>
    <n v="163"/>
    <x v="9"/>
    <x v="129"/>
    <n v="0"/>
    <s v="-"/>
    <x v="3"/>
    <x v="2"/>
    <m/>
    <m/>
    <n v="1"/>
    <e v="#VALUE!"/>
    <e v="#VALUE!"/>
    <m/>
    <e v="#VALUE!"/>
    <e v="#VALUE!"/>
  </r>
  <r>
    <n v="164"/>
    <x v="9"/>
    <x v="129"/>
    <n v="0"/>
    <s v="-"/>
    <x v="3"/>
    <x v="2"/>
    <m/>
    <m/>
    <n v="1"/>
    <e v="#VALUE!"/>
    <e v="#VALUE!"/>
    <m/>
    <e v="#VALUE!"/>
    <e v="#VALUE!"/>
  </r>
  <r>
    <n v="165"/>
    <x v="9"/>
    <x v="129"/>
    <n v="0"/>
    <s v="-"/>
    <x v="3"/>
    <x v="2"/>
    <m/>
    <m/>
    <n v="1"/>
    <e v="#VALUE!"/>
    <e v="#VALUE!"/>
    <m/>
    <e v="#VALUE!"/>
    <e v="#VALUE!"/>
  </r>
  <r>
    <n v="166"/>
    <x v="9"/>
    <x v="129"/>
    <n v="0"/>
    <s v="-"/>
    <x v="3"/>
    <x v="2"/>
    <m/>
    <m/>
    <n v="1"/>
    <e v="#VALUE!"/>
    <e v="#VALUE!"/>
    <m/>
    <e v="#VALUE!"/>
    <e v="#VALUE!"/>
  </r>
  <r>
    <n v="167"/>
    <x v="9"/>
    <x v="129"/>
    <n v="0"/>
    <s v="-"/>
    <x v="3"/>
    <x v="2"/>
    <m/>
    <m/>
    <n v="1"/>
    <e v="#VALUE!"/>
    <e v="#VALUE!"/>
    <m/>
    <e v="#VALUE!"/>
    <e v="#VALUE!"/>
  </r>
  <r>
    <n v="168"/>
    <x v="9"/>
    <x v="129"/>
    <n v="0"/>
    <s v="-"/>
    <x v="3"/>
    <x v="2"/>
    <m/>
    <m/>
    <n v="1"/>
    <e v="#VALUE!"/>
    <e v="#VALUE!"/>
    <m/>
    <e v="#VALUE!"/>
    <e v="#VALUE!"/>
  </r>
  <r>
    <n v="169"/>
    <x v="9"/>
    <x v="129"/>
    <n v="0"/>
    <s v="-"/>
    <x v="3"/>
    <x v="2"/>
    <m/>
    <m/>
    <n v="1"/>
    <e v="#VALUE!"/>
    <e v="#VALUE!"/>
    <m/>
    <e v="#VALUE!"/>
    <e v="#VALUE!"/>
  </r>
  <r>
    <n v="170"/>
    <x v="9"/>
    <x v="129"/>
    <n v="0"/>
    <s v="-"/>
    <x v="3"/>
    <x v="2"/>
    <m/>
    <m/>
    <n v="1"/>
    <e v="#VALUE!"/>
    <e v="#VALUE!"/>
    <m/>
    <e v="#VALUE!"/>
    <e v="#VALUE!"/>
  </r>
  <r>
    <n v="171"/>
    <x v="9"/>
    <x v="129"/>
    <n v="0"/>
    <s v="-"/>
    <x v="3"/>
    <x v="2"/>
    <m/>
    <m/>
    <n v="1"/>
    <e v="#VALUE!"/>
    <e v="#VALUE!"/>
    <m/>
    <e v="#VALUE!"/>
    <e v="#VALUE!"/>
  </r>
  <r>
    <n v="172"/>
    <x v="9"/>
    <x v="129"/>
    <n v="0"/>
    <s v="-"/>
    <x v="3"/>
    <x v="2"/>
    <m/>
    <m/>
    <n v="1"/>
    <e v="#VALUE!"/>
    <e v="#VALUE!"/>
    <m/>
    <e v="#VALUE!"/>
    <e v="#VALUE!"/>
  </r>
  <r>
    <n v="173"/>
    <x v="9"/>
    <x v="129"/>
    <n v="0"/>
    <s v="-"/>
    <x v="3"/>
    <x v="2"/>
    <m/>
    <m/>
    <n v="1"/>
    <e v="#VALUE!"/>
    <e v="#VALUE!"/>
    <m/>
    <e v="#VALUE!"/>
    <e v="#VALUE!"/>
  </r>
  <r>
    <n v="174"/>
    <x v="9"/>
    <x v="129"/>
    <n v="0"/>
    <s v="-"/>
    <x v="3"/>
    <x v="2"/>
    <m/>
    <m/>
    <n v="1"/>
    <e v="#VALUE!"/>
    <e v="#VALUE!"/>
    <m/>
    <e v="#VALUE!"/>
    <e v="#VALUE!"/>
  </r>
  <r>
    <n v="175"/>
    <x v="9"/>
    <x v="129"/>
    <n v="0"/>
    <s v="-"/>
    <x v="3"/>
    <x v="2"/>
    <m/>
    <m/>
    <n v="1"/>
    <e v="#VALUE!"/>
    <e v="#VALUE!"/>
    <m/>
    <e v="#VALUE!"/>
    <e v="#VALUE!"/>
  </r>
  <r>
    <n v="176"/>
    <x v="9"/>
    <x v="129"/>
    <n v="0"/>
    <s v="-"/>
    <x v="3"/>
    <x v="2"/>
    <m/>
    <m/>
    <n v="1"/>
    <e v="#VALUE!"/>
    <e v="#VALUE!"/>
    <m/>
    <e v="#VALUE!"/>
    <e v="#VALUE!"/>
  </r>
  <r>
    <n v="177"/>
    <x v="9"/>
    <x v="129"/>
    <n v="0"/>
    <s v="-"/>
    <x v="3"/>
    <x v="2"/>
    <m/>
    <m/>
    <n v="1"/>
    <e v="#VALUE!"/>
    <e v="#VALUE!"/>
    <m/>
    <e v="#VALUE!"/>
    <e v="#VALUE!"/>
  </r>
  <r>
    <n v="178"/>
    <x v="9"/>
    <x v="129"/>
    <n v="0"/>
    <s v="-"/>
    <x v="3"/>
    <x v="2"/>
    <m/>
    <m/>
    <n v="1"/>
    <e v="#VALUE!"/>
    <e v="#VALUE!"/>
    <m/>
    <e v="#VALUE!"/>
    <e v="#VALUE!"/>
  </r>
  <r>
    <n v="179"/>
    <x v="9"/>
    <x v="129"/>
    <n v="0"/>
    <s v="-"/>
    <x v="3"/>
    <x v="2"/>
    <m/>
    <m/>
    <n v="1"/>
    <e v="#VALUE!"/>
    <e v="#VALUE!"/>
    <m/>
    <e v="#VALUE!"/>
    <e v="#VALUE!"/>
  </r>
  <r>
    <n v="180"/>
    <x v="9"/>
    <x v="129"/>
    <n v="0"/>
    <s v="-"/>
    <x v="3"/>
    <x v="2"/>
    <m/>
    <m/>
    <n v="1"/>
    <e v="#VALUE!"/>
    <e v="#VALUE!"/>
    <m/>
    <e v="#VALUE!"/>
    <e v="#VALUE!"/>
  </r>
  <r>
    <n v="181"/>
    <x v="9"/>
    <x v="129"/>
    <n v="0"/>
    <s v="-"/>
    <x v="3"/>
    <x v="2"/>
    <m/>
    <m/>
    <n v="1"/>
    <e v="#VALUE!"/>
    <e v="#VALUE!"/>
    <m/>
    <e v="#VALUE!"/>
    <e v="#VALUE!"/>
  </r>
  <r>
    <n v="182"/>
    <x v="9"/>
    <x v="129"/>
    <n v="0"/>
    <s v="-"/>
    <x v="3"/>
    <x v="2"/>
    <m/>
    <m/>
    <n v="1"/>
    <e v="#VALUE!"/>
    <e v="#VALUE!"/>
    <m/>
    <e v="#VALUE!"/>
    <e v="#VALUE!"/>
  </r>
  <r>
    <n v="183"/>
    <x v="9"/>
    <x v="129"/>
    <n v="0"/>
    <s v="-"/>
    <x v="3"/>
    <x v="2"/>
    <m/>
    <m/>
    <n v="1"/>
    <e v="#VALUE!"/>
    <e v="#VALUE!"/>
    <m/>
    <e v="#VALUE!"/>
    <e v="#VALUE!"/>
  </r>
  <r>
    <n v="184"/>
    <x v="9"/>
    <x v="129"/>
    <n v="0"/>
    <s v="-"/>
    <x v="3"/>
    <x v="2"/>
    <m/>
    <m/>
    <n v="1"/>
    <e v="#VALUE!"/>
    <e v="#VALUE!"/>
    <m/>
    <e v="#VALUE!"/>
    <e v="#VALUE!"/>
  </r>
  <r>
    <n v="185"/>
    <x v="9"/>
    <x v="129"/>
    <n v="0"/>
    <s v="-"/>
    <x v="3"/>
    <x v="2"/>
    <m/>
    <m/>
    <n v="1"/>
    <e v="#VALUE!"/>
    <e v="#VALUE!"/>
    <m/>
    <e v="#VALUE!"/>
    <e v="#VALUE!"/>
  </r>
  <r>
    <n v="186"/>
    <x v="9"/>
    <x v="129"/>
    <n v="0"/>
    <s v="-"/>
    <x v="3"/>
    <x v="2"/>
    <m/>
    <m/>
    <n v="1"/>
    <e v="#VALUE!"/>
    <e v="#VALUE!"/>
    <m/>
    <e v="#VALUE!"/>
    <e v="#VALUE!"/>
  </r>
  <r>
    <n v="187"/>
    <x v="9"/>
    <x v="129"/>
    <n v="0"/>
    <s v="-"/>
    <x v="3"/>
    <x v="2"/>
    <m/>
    <m/>
    <n v="1"/>
    <e v="#VALUE!"/>
    <e v="#VALUE!"/>
    <m/>
    <e v="#VALUE!"/>
    <e v="#VALUE!"/>
  </r>
  <r>
    <n v="188"/>
    <x v="9"/>
    <x v="129"/>
    <n v="0"/>
    <s v="-"/>
    <x v="3"/>
    <x v="2"/>
    <m/>
    <m/>
    <n v="1"/>
    <e v="#VALUE!"/>
    <e v="#VALUE!"/>
    <m/>
    <e v="#VALUE!"/>
    <e v="#VALUE!"/>
  </r>
  <r>
    <n v="189"/>
    <x v="9"/>
    <x v="129"/>
    <n v="0"/>
    <s v="-"/>
    <x v="3"/>
    <x v="2"/>
    <m/>
    <m/>
    <n v="1"/>
    <e v="#VALUE!"/>
    <e v="#VALUE!"/>
    <m/>
    <e v="#VALUE!"/>
    <e v="#VALUE!"/>
  </r>
  <r>
    <n v="190"/>
    <x v="9"/>
    <x v="129"/>
    <n v="0"/>
    <s v="-"/>
    <x v="3"/>
    <x v="2"/>
    <m/>
    <m/>
    <n v="1"/>
    <e v="#VALUE!"/>
    <e v="#VALUE!"/>
    <m/>
    <e v="#VALUE!"/>
    <e v="#VALUE!"/>
  </r>
  <r>
    <n v="191"/>
    <x v="9"/>
    <x v="129"/>
    <n v="0"/>
    <s v="-"/>
    <x v="3"/>
    <x v="2"/>
    <m/>
    <m/>
    <n v="1"/>
    <e v="#VALUE!"/>
    <e v="#VALUE!"/>
    <m/>
    <e v="#VALUE!"/>
    <e v="#VALUE!"/>
  </r>
  <r>
    <n v="192"/>
    <x v="9"/>
    <x v="129"/>
    <n v="0"/>
    <s v="-"/>
    <x v="3"/>
    <x v="2"/>
    <m/>
    <m/>
    <n v="1"/>
    <e v="#VALUE!"/>
    <e v="#VALUE!"/>
    <m/>
    <e v="#VALUE!"/>
    <e v="#VALUE!"/>
  </r>
  <r>
    <n v="193"/>
    <x v="9"/>
    <x v="129"/>
    <n v="0"/>
    <s v="-"/>
    <x v="3"/>
    <x v="2"/>
    <m/>
    <m/>
    <n v="1"/>
    <e v="#VALUE!"/>
    <e v="#VALUE!"/>
    <m/>
    <e v="#VALUE!"/>
    <e v="#VALUE!"/>
  </r>
  <r>
    <n v="194"/>
    <x v="9"/>
    <x v="129"/>
    <n v="0"/>
    <s v="-"/>
    <x v="3"/>
    <x v="2"/>
    <m/>
    <m/>
    <n v="1"/>
    <e v="#VALUE!"/>
    <e v="#VALUE!"/>
    <m/>
    <e v="#VALUE!"/>
    <e v="#VALUE!"/>
  </r>
  <r>
    <n v="195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n v="0"/>
    <x v="9"/>
    <x v="129"/>
    <n v="0"/>
    <s v="-"/>
    <x v="3"/>
    <x v="2"/>
    <m/>
    <m/>
    <n v="1"/>
    <e v="#VALUE!"/>
    <e v="#VALUE!"/>
    <m/>
    <e v="#VALUE!"/>
    <e v="#VALUE!"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  <r>
    <m/>
    <x v="8"/>
    <x v="57"/>
    <m/>
    <m/>
    <x v="4"/>
    <x v="2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842D6-B45E-4769-BE39-6CE198F7624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I8" firstHeaderRow="1" firstDataRow="1" firstDataCol="1"/>
  <pivotFields count="6">
    <pivotField showAll="0"/>
    <pivotField axis="axisRow" showAll="0">
      <items count="10">
        <item x="5"/>
        <item x="1"/>
        <item h="1" x="6"/>
        <item x="2"/>
        <item x="0"/>
        <item x="3"/>
        <item x="4"/>
        <item h="1" x="7"/>
        <item h="1" x="8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Joining Date" fld="5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0E83D-0427-4200-9508-0E58BACCC94E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12" firstHeaderRow="1" firstDataRow="1" firstDataCol="1" rowPageCount="3" colPageCount="1"/>
  <pivotFields count="15">
    <pivotField showAll="0"/>
    <pivotField axis="axisPage" showAll="0">
      <items count="11">
        <item h="1" x="9"/>
        <item h="1" x="0"/>
        <item h="1" x="1"/>
        <item x="2"/>
        <item h="1" x="3"/>
        <item h="1" x="4"/>
        <item h="1" x="5"/>
        <item h="1" x="6"/>
        <item h="1" x="7"/>
        <item h="1" x="8"/>
        <item t="default"/>
      </items>
    </pivotField>
    <pivotField axis="axisRow" showAll="0">
      <items count="133">
        <item x="1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21"/>
        <item x="122"/>
        <item x="123"/>
        <item x="124"/>
        <item x="125"/>
        <item x="126"/>
        <item x="127"/>
        <item x="128"/>
        <item x="130"/>
        <item x="131"/>
        <item t="default"/>
      </items>
    </pivotField>
    <pivotField showAll="0"/>
    <pivotField showAll="0"/>
    <pivotField axis="axisPage" multipleItemSelectionAllowed="1" showAll="0">
      <items count="6">
        <item x="1"/>
        <item h="1" x="3"/>
        <item h="1" x="0"/>
        <item h="1" x="4"/>
        <item h="1"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 v="82"/>
    </i>
    <i>
      <x v="89"/>
    </i>
    <i>
      <x v="101"/>
    </i>
    <i>
      <x v="102"/>
    </i>
    <i>
      <x v="106"/>
    </i>
    <i>
      <x v="107"/>
    </i>
    <i t="grand">
      <x/>
    </i>
  </rowItems>
  <colItems count="1">
    <i/>
  </colItems>
  <pageFields count="3">
    <pageField fld="1" item="3" hier="-1"/>
    <pageField fld="5" hier="-1"/>
    <pageField fld="6" hier="-1"/>
  </page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81F2D8-3FA1-4725-8774-386AB5131A7A}" name="Table13" displayName="Table13" ref="A1:P122" totalsRowShown="0" headerRowDxfId="20" headerRowBorderDxfId="19" tableBorderDxfId="18">
  <autoFilter ref="A1:P122" xr:uid="{5D6BD65D-764E-4F8F-9855-8A00B50F7EBE}"/>
  <tableColumns count="16">
    <tableColumn id="1" xr3:uid="{56A17744-CEE0-42FF-8623-928F55E531B3}" name="SL No." dataDxfId="17"/>
    <tableColumn id="2" xr3:uid="{50E66FAD-B38F-4D97-A952-02CC851CD4BE}" name="Case manager" dataDxfId="16"/>
    <tableColumn id="3" xr3:uid="{E8AA8AE5-E54C-4357-A832-8AACC4DB09F4}" name="Ref No"/>
    <tableColumn id="4" xr3:uid="{5C554755-2847-43B7-9FAE-F9084B478B36}" name="Name" dataDxfId="15"/>
    <tableColumn id="5" xr3:uid="{60932FA0-D62A-40C3-BB98-03EC48402EEB}" name="CPR" dataDxfId="14"/>
    <tableColumn id="7" xr3:uid="{CB35CE16-1BC6-4038-AB9B-52D442492565}" name="Joining Date" dataDxfId="13"/>
    <tableColumn id="8" xr3:uid="{D6B90700-3401-4DEC-864C-CD698E849625}" name="MoL"/>
    <tableColumn id="9" xr3:uid="{23D55693-54B3-437A-90B5-675621BBB001}" name="Long MoL +3 Years" dataDxfId="12"/>
    <tableColumn id="10" xr3:uid="{E7AE0694-27A6-48CA-81AD-8279A2F7E4BA}" name="Gender"/>
    <tableColumn id="11" xr3:uid="{83CF7521-0727-4715-8BAA-6A73AF6FA382}" name="Education"/>
    <tableColumn id="12" xr3:uid="{D7F9B21D-CF2B-40C4-8A2A-E4BE60D41E22}" name="Salary" dataDxfId="11" dataCellStyle="Comma"/>
    <tableColumn id="13" xr3:uid="{25A6CA19-0D22-4B10-A020-035A09EF8AA3}" name="Position"/>
    <tableColumn id="14" xr3:uid="{7F7FBC5E-1288-452E-941F-44304AEAD444}" name="Company"/>
    <tableColumn id="15" xr3:uid="{EC4C56A6-0BD9-410C-9E5E-25C24B4A7EAB}" name="Employer CR No."/>
    <tableColumn id="16" xr3:uid="{E7EEB47F-F210-44AB-91BD-C8B0B2C44F2E}" name="Employement Type"/>
    <tableColumn id="19" xr3:uid="{4605D9AC-7673-48A1-B0F7-AC7EFE6FDEC9}" name="Com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6BD65D-764E-4F8F-9855-8A00B50F7EBE}" name="Table1" displayName="Table1" ref="A1:P362" totalsRowShown="0" headerRowDxfId="10" headerRowBorderDxfId="9" tableBorderDxfId="8">
  <autoFilter ref="A1:P362" xr:uid="{5D6BD65D-764E-4F8F-9855-8A00B50F7EBE}"/>
  <tableColumns count="16">
    <tableColumn id="1" xr3:uid="{C429FF34-0028-45D0-B173-579E687E5B69}" name="SL No." dataDxfId="7">
      <calculatedColumnFormula>ROW() - ROW(Table1[[#Headers],[SL No.]])</calculatedColumnFormula>
    </tableColumn>
    <tableColumn id="2" xr3:uid="{32072752-0F69-4D69-93AD-9819E3B890DF}" name="Case manager" dataDxfId="6"/>
    <tableColumn id="3" xr3:uid="{D51428D2-D84D-42F4-9FDA-6546D3BED8AB}" name="Ref No"/>
    <tableColumn id="4" xr3:uid="{88C99AA9-A590-482D-91AD-BE2133FA4165}" name="Name" dataDxfId="5"/>
    <tableColumn id="5" xr3:uid="{654A89A2-1328-4D1A-8ABE-A038F097BAEE}" name="CPR" dataDxfId="4"/>
    <tableColumn id="7" xr3:uid="{D22A0B7D-32E2-433A-ADE9-DC4D40459E11}" name="Joining Date" dataDxfId="3"/>
    <tableColumn id="8" xr3:uid="{A71F327A-A08B-48C2-8E20-4A96126D8716}" name="MoL"/>
    <tableColumn id="9" xr3:uid="{6241D37F-BF7E-4442-933C-14194EB1EC5F}" name="Long MoL +3 Years" dataDxfId="2"/>
    <tableColumn id="10" xr3:uid="{2298877A-1702-403A-817A-AB02AD66E285}" name="Gender"/>
    <tableColumn id="11" xr3:uid="{5A23DD8E-CB31-412B-846D-96C734D86B2F}" name="Education"/>
    <tableColumn id="12" xr3:uid="{65BB3A59-E286-46F8-9B40-78B4439C85B6}" name="Salary" dataDxfId="1" dataCellStyle="Comma"/>
    <tableColumn id="13" xr3:uid="{FAE364E5-791A-4654-8A8A-7DDE9CFFBDFC}" name="Position"/>
    <tableColumn id="14" xr3:uid="{A63C1F6D-C776-45BC-8CD2-ECDDB7A885C1}" name="Company"/>
    <tableColumn id="15" xr3:uid="{3BDBD324-4263-41FF-BB69-D68D1A492B92}" name="Employer CR No."/>
    <tableColumn id="16" xr3:uid="{31BA743C-922B-490F-9DC7-6BF10C3D5CDC}" name="Employement Type"/>
    <tableColumn id="19" xr3:uid="{384ABA4C-3262-4780-BE2B-2432CD744D6B}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8B22BC-576D-490F-B30D-69DA09B9FBEB}" name="Table3" displayName="Table3" ref="A1:Z379" totalsRowShown="0" headerRowDxfId="45">
  <autoFilter ref="A1:Z379" xr:uid="{C58B22BC-576D-490F-B30D-69DA09B9FBEB}"/>
  <tableColumns count="26">
    <tableColumn id="1" xr3:uid="{986EDB43-A073-4E24-AC0B-6B3E69AF5EF9}" name="SL No." dataDxfId="44">
      <calculatedColumnFormula>Table1[[#This Row],[SL No.]]</calculatedColumnFormula>
    </tableColumn>
    <tableColumn id="2" xr3:uid="{E97988E7-1730-444B-A79F-EBCF5CF9820B}" name="Case manager" dataDxfId="43">
      <calculatedColumnFormula>Table1[[#This Row],[Case manager]]</calculatedColumnFormula>
    </tableColumn>
    <tableColumn id="3" xr3:uid="{2EE82F8B-689F-4088-83C8-746839EED642}" name="Ref No" dataDxfId="42">
      <calculatedColumnFormula>Table1[[#This Row],[Ref No]]</calculatedColumnFormula>
    </tableColumn>
    <tableColumn id="4" xr3:uid="{15C8738E-F018-494A-9F47-41CAFE1D6DEA}" name="Name" dataDxfId="41">
      <calculatedColumnFormula>Table1[[#This Row],[Name]]</calculatedColumnFormula>
    </tableColumn>
    <tableColumn id="5" xr3:uid="{38DB3635-3D40-4E29-82D3-5EC9B4DEF442}" name="Joining Date" dataDxfId="40">
      <calculatedColumnFormula>'Placements 26'!F2</calculatedColumnFormula>
    </tableColumn>
    <tableColumn id="27" xr3:uid="{F1C51962-6BA4-4EA9-801C-B070431B1307}" name="Claims Status" dataDxfId="39">
      <calculatedColumnFormula>IF(S2&gt;=1,"Claimable","Claimed")</calculatedColumnFormula>
    </tableColumn>
    <tableColumn id="9" xr3:uid="{D371B52E-E4F5-4C8A-8994-BD7F48E347CA}" name="Dispute" dataDxfId="38"/>
    <tableColumn id="18" xr3:uid="{FD253376-ACA1-4566-A4C1-6523440CD09D}" name="Disupute Comment" dataDxfId="37"/>
    <tableColumn id="6" xr3:uid="{BAD6A8CE-FE58-4229-B2E6-5C36578CC9B7}" name="Placement Fee &amp; Variables"/>
    <tableColumn id="29" xr3:uid="{C7105FD1-F4F6-4102-8C8B-A685655F32CD}" name="Placement claim Highlight" dataDxfId="36">
      <calculatedColumnFormula>IF(Table3[[#This Row],[Placement Fee &amp; Variables]]&gt;0,0,1)</calculatedColumnFormula>
    </tableColumn>
    <tableColumn id="20" xr3:uid="{EC5228EE-8EF1-4B59-9A04-A1BE4E8FA775}" name="6 Months" dataDxfId="35">
      <calculatedColumnFormula>Table3[[#This Row],[Joining Date]]+180</calculatedColumnFormula>
    </tableColumn>
    <tableColumn id="19" xr3:uid="{EA193AFD-7BC6-4E19-8744-60D0E0553C90}" name="6M Stat" dataDxfId="34">
      <calculatedColumnFormula>IF(AND(M2="", K2&lt;=TODAY()), "Claimable", "")</calculatedColumnFormula>
    </tableColumn>
    <tableColumn id="7" xr3:uid="{27DDC064-7BF2-4F8F-9CAE-846A88422E8D}" name="6 Months Claim"/>
    <tableColumn id="24" xr3:uid="{E7314FF2-D248-44F6-ACA4-7EC36A26DC7F}" name="Highlight rule 6M" dataDxfId="33">
      <calculatedColumnFormula>IF(Table3[[#This Row],[6M Stat]]="Claimable",1,0)</calculatedColumnFormula>
    </tableColumn>
    <tableColumn id="30" xr3:uid="{BF6100FF-A9CF-4894-B7FC-B31DC32EBF33}" name="12 Months" dataDxfId="32">
      <calculatedColumnFormula>Table3[[#This Row],[Joining Date]]+365</calculatedColumnFormula>
    </tableColumn>
    <tableColumn id="32" xr3:uid="{F45CCB40-67B3-4872-80DB-B722851188DF}" name="12 Months Claim" dataDxfId="31"/>
    <tableColumn id="33" xr3:uid="{3810ED24-1800-4927-BD87-A0BA9CAB6D50}" name="12 M Stat" dataDxfId="30">
      <calculatedColumnFormula>IF(AND(P2="", O2&lt;=TODAY()), "Claimable", "")</calculatedColumnFormula>
    </tableColumn>
    <tableColumn id="25" xr3:uid="{7477D5DE-481B-4AF1-A450-35739737E6D6}" name="Highlight rule 12 M" dataDxfId="29">
      <calculatedColumnFormula>IF(Table3[[#This Row],[12 M Stat]]="Claimable",1,0)</calculatedColumnFormula>
    </tableColumn>
    <tableColumn id="34" xr3:uid="{32392E26-E4A9-4A10-B4CC-68013E801DEF}" name="Total Stat" dataDxfId="28">
      <calculatedColumnFormula>Table3[[#This Row],[Placement claim Highlight]]+Table3[[#This Row],[Highlight rule 6M]]+Table3[[#This Row],[Highlight rule 12 M]]</calculatedColumnFormula>
    </tableColumn>
    <tableColumn id="23" xr3:uid="{1D8D5A14-5D8B-4134-AA40-AF7C8C812E4C}" name="Total first claim" dataDxfId="27" dataCellStyle="Comma">
      <calculatedColumnFormula>SUM(Table3[[#This Row],[Placement Fee]:[Salary]])</calculatedColumnFormula>
    </tableColumn>
    <tableColumn id="21" xr3:uid="{BBB763AB-9E7A-4B03-841B-2B5C84EF098B}" name="Placement Fee" dataDxfId="26" dataCellStyle="Comma"/>
    <tableColumn id="11" xr3:uid="{F8E4317A-F235-455C-90DA-DF20D97451AE}" name="MoL" dataDxfId="25" dataCellStyle="Comma">
      <calculatedColumnFormula>IF(Table1[[#This Row],[MoL]]="Yes",55,0)</calculatedColumnFormula>
    </tableColumn>
    <tableColumn id="12" xr3:uid="{098F4BDA-84DC-4EDB-B586-DDF758D16E02}" name="Long MoL" dataDxfId="24" dataCellStyle="Comma">
      <calculatedColumnFormula>IF(Table1[[#This Row],[Long MoL +3 Years]]="Yes",137.5,0)</calculatedColumnFormula>
    </tableColumn>
    <tableColumn id="13" xr3:uid="{2FC08078-F561-4D32-89AD-F92FBD499346}" name="Gender" dataDxfId="23" dataCellStyle="Comma">
      <calculatedColumnFormula>IF(Table1[[#This Row],[Gender]]="Female",137.5,0)</calculatedColumnFormula>
    </tableColumn>
    <tableColumn id="14" xr3:uid="{641E8F61-8A0D-4D32-8D29-65236A932D67}" name="Education" dataDxfId="22" dataCellStyle="Comma">
      <calculatedColumnFormula>IF(Table1[[#This Row],[Education]]="Bachelors +",55,0)</calculatedColumnFormula>
    </tableColumn>
    <tableColumn id="15" xr3:uid="{EB8C53BC-A377-4667-89C3-ACD631E244C5}" name="Salary" dataDxfId="21" dataCellStyle="Comma">
      <calculatedColumnFormula>IF(Table1[[#This Row],[Salary]]&gt;=600,82.5,0)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1-15T07:31:15.92" personId="{F6D2DE5D-68D9-4533-94EB-14518FCC472F}" id="{2093F491-857C-41FC-A6CE-A4A93A0F4D21}">
    <text>Strictly follow the date format “1-Jan-2026”
Keep “-” for unused rows</text>
  </threadedComment>
  <threadedComment ref="G1" dT="2026-01-18T12:24:31.08" personId="{F6D2DE5D-68D9-4533-94EB-14518FCC472F}" id="{8C392769-69FF-4377-9264-6086E3D5681E}">
    <text xml:space="preserve">Check with Mohsin the details of this before adding it. </text>
  </threadedComment>
  <threadedComment ref="H1" dT="2026-01-18T12:25:01.08" personId="{F6D2DE5D-68D9-4533-94EB-14518FCC472F}" id="{1A6CCD81-66F2-4691-B2F1-8020171D540A}">
    <text xml:space="preserve">Check with Mohsin the details of this before adding it. </text>
  </threadedComment>
  <threadedComment ref="K1" dT="2026-01-15T14:16:09.40" personId="{F6D2DE5D-68D9-4533-94EB-14518FCC472F}" id="{FEFB6591-5D39-4728-8E03-8086BDF8A6BB}">
    <text>Strictly keep the format as 1,000.00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6-01-15T07:31:15.92" personId="{F6D2DE5D-68D9-4533-94EB-14518FCC472F}" id="{0C21F501-C484-4143-B99F-EABF3A2D87AC}">
    <text>Strictly follow the date format “1-Jan-2026”
Keep “-” for unused rows</text>
  </threadedComment>
  <threadedComment ref="G1" dT="2026-01-18T12:24:31.08" personId="{F6D2DE5D-68D9-4533-94EB-14518FCC472F}" id="{64834271-78A6-47ED-8E10-4935C63E2FAE}">
    <text xml:space="preserve">Check with Mohsin the details of this before adding it. </text>
  </threadedComment>
  <threadedComment ref="H1" dT="2026-01-18T12:25:01.08" personId="{F6D2DE5D-68D9-4533-94EB-14518FCC472F}" id="{21C8F6AE-B3DC-480A-BF2C-EC911C5ADB59}">
    <text xml:space="preserve">Check with Mohsin the details of this before adding it. </text>
  </threadedComment>
  <threadedComment ref="K1" dT="2026-01-15T14:16:09.40" personId="{F6D2DE5D-68D9-4533-94EB-14518FCC472F}" id="{83D4068B-F2C8-49EC-B1BF-4AAC16D02564}">
    <text>Strictly keep the format as 1,000.00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1" dT="2026-01-15T16:19:45.77" personId="{F6D2DE5D-68D9-4533-94EB-14518FCC472F}" id="{333F91BD-82D2-453F-A9D7-4F79C0D99A93}">
    <text>Incase the Placement fee or variable amount doesn’t match with Approval letter, mark it as “Yes”. If there are no issues then Mark “No”</text>
  </threadedComment>
  <threadedComment ref="I1" dT="2026-01-18T09:12:16.10" personId="{F6D2DE5D-68D9-4533-94EB-14518FCC472F}" id="{EFED534D-BEDC-4E24-9B18-999077BB779D}">
    <text>Strictly follow the date format “1-Jan-2026”</text>
  </threadedComment>
  <threadedComment ref="M1" dT="2026-01-18T09:12:26.65" personId="{F6D2DE5D-68D9-4533-94EB-14518FCC472F}" id="{D1991902-A8BB-4FBA-A50F-5DCD0C840ABF}">
    <text>Strictly follow the date format “1-Jan-2026”</text>
  </threadedComment>
  <threadedComment ref="P1" dT="2026-01-18T09:12:32.81" personId="{F6D2DE5D-68D9-4533-94EB-14518FCC472F}" id="{EC386774-28FD-4A95-90C5-3460DBF73F25}">
    <text>Strictly follow the date format “1-Jan-2026”</text>
  </threadedComment>
  <threadedComment ref="Z1" dT="2026-01-15T14:16:09.40" personId="{F6D2DE5D-68D9-4533-94EB-14518FCC472F}" id="{006EC5F9-832F-44E7-A3EF-98499AE26C98}">
    <text>Strictly keep the format as 1,000.00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services.tamkeen.bh/NeoTamkeenInternalPortal/Customer360?CustomerProfileId=121362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services.tamkeen.bh/NeoTamkeenInternalPortal/Customer360?CustomerProfileId=17449" TargetMode="External"/><Relationship Id="rId21" Type="http://schemas.openxmlformats.org/officeDocument/2006/relationships/hyperlink" Target="https://services.tamkeen.bh/NeoTamkeenInternalPortal/Customer360?CustomerProfileId=169647" TargetMode="External"/><Relationship Id="rId42" Type="http://schemas.openxmlformats.org/officeDocument/2006/relationships/hyperlink" Target="https://services.tamkeen.bh/NeoTamkeenInternalPortal/Customer360?CustomerProfileId=246234" TargetMode="External"/><Relationship Id="rId47" Type="http://schemas.openxmlformats.org/officeDocument/2006/relationships/hyperlink" Target="https://services.tamkeen.bh/NeoTamkeenInternalPortal/Customer360?CustomerProfileId=199238" TargetMode="External"/><Relationship Id="rId63" Type="http://schemas.openxmlformats.org/officeDocument/2006/relationships/hyperlink" Target="https://services.tamkeen.bh/NeoTamkeenInternalPortal/Customer360?CustomerProfileId=184555" TargetMode="External"/><Relationship Id="rId68" Type="http://schemas.openxmlformats.org/officeDocument/2006/relationships/vmlDrawing" Target="../drawings/vmlDrawing2.vml"/><Relationship Id="rId7" Type="http://schemas.openxmlformats.org/officeDocument/2006/relationships/hyperlink" Target="https://services.tamkeen.bh/NeoTamkeenInternalPortal/Customer360?CustomerProfileId=222349" TargetMode="External"/><Relationship Id="rId71" Type="http://schemas.microsoft.com/office/2017/10/relationships/threadedComment" Target="../threadedComments/threadedComment2.xml"/><Relationship Id="rId2" Type="http://schemas.openxmlformats.org/officeDocument/2006/relationships/hyperlink" Target="https://services.tamkeen.bh/NeoTamkeenInternalPortal/Customer360?CustomerProfileId=269947" TargetMode="External"/><Relationship Id="rId16" Type="http://schemas.openxmlformats.org/officeDocument/2006/relationships/hyperlink" Target="https://services.tamkeen.bh/NeoTamkeenInternalPortal/Customer360?CustomerProfileId=270890" TargetMode="External"/><Relationship Id="rId29" Type="http://schemas.openxmlformats.org/officeDocument/2006/relationships/hyperlink" Target="https://services.tamkeen.bh/NeoTamkeenInternalPortal/Customer360?CustomerProfileId=127051" TargetMode="External"/><Relationship Id="rId11" Type="http://schemas.openxmlformats.org/officeDocument/2006/relationships/hyperlink" Target="https://services.tamkeen.bh/NeoTamkeenInternalPortal/Customer360?CustomerProfileId=115426" TargetMode="External"/><Relationship Id="rId24" Type="http://schemas.openxmlformats.org/officeDocument/2006/relationships/hyperlink" Target="https://services.tamkeen.bh/NeoTamkeenInternalPortal/Customer360?CustomerProfileId=127051" TargetMode="External"/><Relationship Id="rId32" Type="http://schemas.openxmlformats.org/officeDocument/2006/relationships/hyperlink" Target="https://services.tamkeen.bh/NeoTamkeenInternalPortal/Customer360?CustomerProfileId=131507" TargetMode="External"/><Relationship Id="rId37" Type="http://schemas.openxmlformats.org/officeDocument/2006/relationships/hyperlink" Target="https://services.tamkeen.bh/NeoTamkeenInternalPortal/Customer360?CustomerProfileId=19735" TargetMode="External"/><Relationship Id="rId40" Type="http://schemas.openxmlformats.org/officeDocument/2006/relationships/hyperlink" Target="https://www.sijilat.bh/public-search-cr/search-cr-3.aspx?cr_no=111825&amp;branch_no=1" TargetMode="External"/><Relationship Id="rId45" Type="http://schemas.openxmlformats.org/officeDocument/2006/relationships/hyperlink" Target="https://services.tamkeen.bh/NeoTamkeenInternalPortal/Customer360?CustomerProfileId=113917" TargetMode="External"/><Relationship Id="rId53" Type="http://schemas.openxmlformats.org/officeDocument/2006/relationships/hyperlink" Target="https://services.tamkeen.bh/NeoTamkeenInternalPortal/Customer360?CustomerProfileId=182819" TargetMode="External"/><Relationship Id="rId58" Type="http://schemas.openxmlformats.org/officeDocument/2006/relationships/hyperlink" Target="https://services.tamkeen.bh/NeoTamkeenInternalPortal/Customer360?CustomerProfileId=280641" TargetMode="External"/><Relationship Id="rId66" Type="http://schemas.openxmlformats.org/officeDocument/2006/relationships/hyperlink" Target="https://services.tamkeen.bh/NeoTamkeenInternalPortal/Customer360?CustomerProfileId=180036" TargetMode="External"/><Relationship Id="rId5" Type="http://schemas.openxmlformats.org/officeDocument/2006/relationships/hyperlink" Target="https://services.tamkeen.bh/NeoTamkeenInternalPortal/Customer360?CustomerProfileId=36492" TargetMode="External"/><Relationship Id="rId61" Type="http://schemas.openxmlformats.org/officeDocument/2006/relationships/hyperlink" Target="https://services.tamkeen.bh/NeoTamkeenInternalPortal/Customer360?CustomerProfileId=14491" TargetMode="External"/><Relationship Id="rId19" Type="http://schemas.openxmlformats.org/officeDocument/2006/relationships/hyperlink" Target="https://services.tamkeen.bh/NeoTamkeenInternalPortal/Customer360?CustomerProfileId=230036" TargetMode="External"/><Relationship Id="rId14" Type="http://schemas.openxmlformats.org/officeDocument/2006/relationships/hyperlink" Target="https://services.tamkeen.bh/NeoTamkeenInternalPortal/Customer360?CustomerProfileId=249827" TargetMode="External"/><Relationship Id="rId22" Type="http://schemas.openxmlformats.org/officeDocument/2006/relationships/hyperlink" Target="https://services.tamkeen.bh/NeoTamkeenInternalPortal/Customer360?CustomerProfileId=37006" TargetMode="External"/><Relationship Id="rId27" Type="http://schemas.openxmlformats.org/officeDocument/2006/relationships/hyperlink" Target="https://services.tamkeen.bh/NeoTamkeenInternalPortal/Customer360?CustomerProfileId=41774" TargetMode="External"/><Relationship Id="rId30" Type="http://schemas.openxmlformats.org/officeDocument/2006/relationships/hyperlink" Target="https://services.tamkeen.bh/NeoTamkeenInternalPortal/Customer360?CustomerProfileId=130220" TargetMode="External"/><Relationship Id="rId35" Type="http://schemas.openxmlformats.org/officeDocument/2006/relationships/hyperlink" Target="https://services.tamkeen.bh/NeoTamkeenInternalPortal/Customer360?CustomerProfileId=174266" TargetMode="External"/><Relationship Id="rId43" Type="http://schemas.openxmlformats.org/officeDocument/2006/relationships/hyperlink" Target="https://services.tamkeen.bh/NeoTamkeenInternalPortal/Customer360?CustomerProfileId=18723" TargetMode="External"/><Relationship Id="rId48" Type="http://schemas.openxmlformats.org/officeDocument/2006/relationships/hyperlink" Target="https://services.tamkeen.bh/NeoTamkeenInternalPortal/Customer360?CustomerProfileId=278284" TargetMode="External"/><Relationship Id="rId56" Type="http://schemas.openxmlformats.org/officeDocument/2006/relationships/hyperlink" Target="https://services.tamkeen.bh/NeoTamkeenInternalPortal/Customer360?CustomerProfileId=128357" TargetMode="External"/><Relationship Id="rId64" Type="http://schemas.openxmlformats.org/officeDocument/2006/relationships/hyperlink" Target="https://services.tamkeen.bh/NeoTamkeenInternalPortal/Customer360?CustomerProfileId=3363" TargetMode="External"/><Relationship Id="rId69" Type="http://schemas.openxmlformats.org/officeDocument/2006/relationships/table" Target="../tables/table2.xml"/><Relationship Id="rId8" Type="http://schemas.openxmlformats.org/officeDocument/2006/relationships/hyperlink" Target="https://services.tamkeen.bh/NeoTamkeenInternalPortal/Customer360?CustomerProfileId=185296" TargetMode="External"/><Relationship Id="rId51" Type="http://schemas.openxmlformats.org/officeDocument/2006/relationships/hyperlink" Target="https://services.tamkeen.bh/NeoTamkeenInternalPortal/Customer360?CustomerProfileId=277046" TargetMode="External"/><Relationship Id="rId3" Type="http://schemas.openxmlformats.org/officeDocument/2006/relationships/hyperlink" Target="https://services.tamkeen.bh/NeoTamkeenInternalPortal/Customer360?CustomerProfileId=201259" TargetMode="External"/><Relationship Id="rId12" Type="http://schemas.openxmlformats.org/officeDocument/2006/relationships/hyperlink" Target="https://services.tamkeen.bh/NeoTamkeenInternalPortal/Customer360?CustomerProfileId=173724" TargetMode="External"/><Relationship Id="rId17" Type="http://schemas.openxmlformats.org/officeDocument/2006/relationships/hyperlink" Target="https://services.tamkeen.bh/NeoTamkeenInternalPortal/Customer360?CustomerProfileId=130220" TargetMode="External"/><Relationship Id="rId25" Type="http://schemas.openxmlformats.org/officeDocument/2006/relationships/hyperlink" Target="https://services.tamkeen.bh/NeoTamkeenInternalPortal/Customer360?CustomerProfileId=149718" TargetMode="External"/><Relationship Id="rId33" Type="http://schemas.openxmlformats.org/officeDocument/2006/relationships/hyperlink" Target="https://services.tamkeen.bh/NeoTamkeenInternalPortal/Customer360?CustomerProfileId=173724" TargetMode="External"/><Relationship Id="rId38" Type="http://schemas.openxmlformats.org/officeDocument/2006/relationships/hyperlink" Target="https://services.tamkeen.bh/NeoTamkeenInternalPortal/Customer360?CustomerProfileId=240128" TargetMode="External"/><Relationship Id="rId46" Type="http://schemas.openxmlformats.org/officeDocument/2006/relationships/hyperlink" Target="https://services.tamkeen.bh/NeoTamkeenInternalPortal/Customer360?CustomerProfileId=257793" TargetMode="External"/><Relationship Id="rId59" Type="http://schemas.openxmlformats.org/officeDocument/2006/relationships/hyperlink" Target="https://services.tamkeen.bh/NeoTamkeenInternalPortal/Customer360?CustomerProfileId=79855" TargetMode="External"/><Relationship Id="rId67" Type="http://schemas.openxmlformats.org/officeDocument/2006/relationships/hyperlink" Target="https://services.tamkeen.bh/NeoTamkeenInternalPortal/Customer360?CustomerProfileId=149030" TargetMode="External"/><Relationship Id="rId20" Type="http://schemas.openxmlformats.org/officeDocument/2006/relationships/hyperlink" Target="https://services.tamkeen.bh/NeoTamkeenInternalPortal/Customer360?CustomerProfileId=223693" TargetMode="External"/><Relationship Id="rId41" Type="http://schemas.openxmlformats.org/officeDocument/2006/relationships/hyperlink" Target="https://services.tamkeen.bh/NeoTamkeenInternalPortal/Customer360?CustomerProfileId=216384" TargetMode="External"/><Relationship Id="rId54" Type="http://schemas.openxmlformats.org/officeDocument/2006/relationships/hyperlink" Target="https://services.tamkeen.bh/NeoTamkeenInternalPortal/Customer360?CustomerProfileId=155467" TargetMode="External"/><Relationship Id="rId62" Type="http://schemas.openxmlformats.org/officeDocument/2006/relationships/hyperlink" Target="https://services.tamkeen.bh/NeoTamkeenInternalPortal/Customer360?CustomerProfileId=280644" TargetMode="External"/><Relationship Id="rId70" Type="http://schemas.openxmlformats.org/officeDocument/2006/relationships/comments" Target="../comments2.xml"/><Relationship Id="rId1" Type="http://schemas.openxmlformats.org/officeDocument/2006/relationships/hyperlink" Target="https://services.tamkeen.bh/NeoTamkeenInternalPortal/Customer360?CustomerProfileId=121362" TargetMode="External"/><Relationship Id="rId6" Type="http://schemas.openxmlformats.org/officeDocument/2006/relationships/hyperlink" Target="https://services.tamkeen.bh/NeoTamkeenInternalPortal/Customer360?CustomerProfileId=248179" TargetMode="External"/><Relationship Id="rId15" Type="http://schemas.openxmlformats.org/officeDocument/2006/relationships/hyperlink" Target="https://services.tamkeen.bh/NeoTamkeenInternalPortal/Customer360?CustomerProfileId=131507" TargetMode="External"/><Relationship Id="rId23" Type="http://schemas.openxmlformats.org/officeDocument/2006/relationships/hyperlink" Target="https://services.tamkeen.bh/NeoTamkeenInternalPortal/Customer360?CustomerProfileId=256859" TargetMode="External"/><Relationship Id="rId28" Type="http://schemas.openxmlformats.org/officeDocument/2006/relationships/hyperlink" Target="https://services.tamkeen.bh/NeoTamkeenInternalPortal/Customer360?CustomerProfileId=223693" TargetMode="External"/><Relationship Id="rId36" Type="http://schemas.openxmlformats.org/officeDocument/2006/relationships/hyperlink" Target="https://services.tamkeen.bh/NeoTamkeenInternalPortal/Customer360?CustomerProfileId=169121" TargetMode="External"/><Relationship Id="rId49" Type="http://schemas.openxmlformats.org/officeDocument/2006/relationships/hyperlink" Target="https://services.tamkeen.bh/NeoTamkeenInternalPortal/Customer360?CustomerProfileId=188023" TargetMode="External"/><Relationship Id="rId57" Type="http://schemas.openxmlformats.org/officeDocument/2006/relationships/hyperlink" Target="https://services.tamkeen.bh/NeoTamkeenInternalPortal/Customer360?CustomerProfileId=254584" TargetMode="External"/><Relationship Id="rId10" Type="http://schemas.openxmlformats.org/officeDocument/2006/relationships/hyperlink" Target="https://services.tamkeen.bh/NeoTamkeenInternalPortal/Customer360?CustomerProfileId=98860" TargetMode="External"/><Relationship Id="rId31" Type="http://schemas.openxmlformats.org/officeDocument/2006/relationships/hyperlink" Target="https://services.tamkeen.bh/NeoTamkeenInternalPortal/Customer360?CustomerProfileId=270890" TargetMode="External"/><Relationship Id="rId44" Type="http://schemas.openxmlformats.org/officeDocument/2006/relationships/hyperlink" Target="https://services.tamkeen.bh/NeoTamkeenInternalPortal/Customer360?CustomerProfileId=151275" TargetMode="External"/><Relationship Id="rId52" Type="http://schemas.openxmlformats.org/officeDocument/2006/relationships/hyperlink" Target="https://services.tamkeen.bh/NeoTamkeenInternalPortal/Customer360?CustomerProfileId=165636" TargetMode="External"/><Relationship Id="rId60" Type="http://schemas.openxmlformats.org/officeDocument/2006/relationships/hyperlink" Target="https://services.tamkeen.bh/NeoTamkeenInternalPortal/Customer360?CustomerProfileId=45875" TargetMode="External"/><Relationship Id="rId65" Type="http://schemas.openxmlformats.org/officeDocument/2006/relationships/hyperlink" Target="https://services.tamkeen.bh/NeoTamkeenInternalPortal/Customer360?CustomerProfileId=219709" TargetMode="External"/><Relationship Id="rId4" Type="http://schemas.openxmlformats.org/officeDocument/2006/relationships/hyperlink" Target="https://services.tamkeen.bh/NeoTamkeenInternalPortal/Customer360?CustomerProfileId=145285" TargetMode="External"/><Relationship Id="rId9" Type="http://schemas.openxmlformats.org/officeDocument/2006/relationships/hyperlink" Target="https://services.tamkeen.bh/NeoTamkeenInternalPortal/Customer360?CustomerProfileId=21033" TargetMode="External"/><Relationship Id="rId13" Type="http://schemas.openxmlformats.org/officeDocument/2006/relationships/hyperlink" Target="https://services.tamkeen.bh/NeoTamkeenInternalPortal/Customer360?CustomerProfileId=141166" TargetMode="External"/><Relationship Id="rId18" Type="http://schemas.openxmlformats.org/officeDocument/2006/relationships/hyperlink" Target="https://services.tamkeen.bh/NeoTamkeenInternalPortal/Customer360?CustomerProfileId=81709" TargetMode="External"/><Relationship Id="rId39" Type="http://schemas.openxmlformats.org/officeDocument/2006/relationships/hyperlink" Target="https://www.sijilat.bh/public-search-cr/search-cr-3.aspx?cr_no=111825&amp;branch_no=1" TargetMode="External"/><Relationship Id="rId34" Type="http://schemas.openxmlformats.org/officeDocument/2006/relationships/hyperlink" Target="https://services.tamkeen.bh/NeoTamkeenInternalPortal/Customer360?CustomerProfileId=115426" TargetMode="External"/><Relationship Id="rId50" Type="http://schemas.openxmlformats.org/officeDocument/2006/relationships/hyperlink" Target="https://services.tamkeen.bh/NeoTamkeenInternalPortal/Customer360?CustomerProfileId=252806" TargetMode="External"/><Relationship Id="rId55" Type="http://schemas.openxmlformats.org/officeDocument/2006/relationships/hyperlink" Target="https://services.tamkeen.bh/NeoTamkeenInternalPortal/Customer360?CustomerProfileId=229034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8B94E-78C5-4279-B85E-7DD30CD11DC0}">
  <dimension ref="A1:I12"/>
  <sheetViews>
    <sheetView workbookViewId="0">
      <selection activeCell="E14" sqref="E14"/>
    </sheetView>
  </sheetViews>
  <sheetFormatPr defaultRowHeight="15"/>
  <cols>
    <col min="1" max="1" width="14.5703125" bestFit="1" customWidth="1"/>
    <col min="2" max="2" width="12.85546875" bestFit="1" customWidth="1"/>
    <col min="3" max="3" width="10.7109375" bestFit="1" customWidth="1"/>
    <col min="4" max="4" width="21.7109375" bestFit="1" customWidth="1"/>
    <col min="5" max="5" width="20.28515625" bestFit="1" customWidth="1"/>
    <col min="8" max="8" width="14.28515625" bestFit="1" customWidth="1"/>
    <col min="9" max="9" width="20.5703125" bestFit="1" customWidth="1"/>
    <col min="10" max="10" width="9.7109375" bestFit="1" customWidth="1"/>
    <col min="11" max="11" width="10.7109375" bestFit="1" customWidth="1"/>
  </cols>
  <sheetData>
    <row r="1" spans="1:9">
      <c r="A1" s="16" t="s">
        <v>0</v>
      </c>
      <c r="B1" t="s">
        <v>1</v>
      </c>
      <c r="H1" s="16" t="s">
        <v>2</v>
      </c>
      <c r="I1" t="s">
        <v>3</v>
      </c>
    </row>
    <row r="2" spans="1:9">
      <c r="A2" s="16" t="s">
        <v>4</v>
      </c>
      <c r="B2" t="s">
        <v>5</v>
      </c>
      <c r="H2" s="17" t="s">
        <v>6</v>
      </c>
      <c r="I2">
        <v>16</v>
      </c>
    </row>
    <row r="3" spans="1:9">
      <c r="A3" s="16" t="s">
        <v>7</v>
      </c>
      <c r="B3" t="s">
        <v>8</v>
      </c>
      <c r="H3" s="17" t="s">
        <v>9</v>
      </c>
      <c r="I3">
        <v>25</v>
      </c>
    </row>
    <row r="4" spans="1:9">
      <c r="H4" s="17" t="s">
        <v>1</v>
      </c>
      <c r="I4">
        <v>9</v>
      </c>
    </row>
    <row r="5" spans="1:9">
      <c r="A5" s="16" t="s">
        <v>2</v>
      </c>
      <c r="H5" s="17" t="s">
        <v>10</v>
      </c>
      <c r="I5">
        <v>38</v>
      </c>
    </row>
    <row r="6" spans="1:9">
      <c r="A6" s="17" t="s">
        <v>11</v>
      </c>
      <c r="H6" s="17" t="s">
        <v>12</v>
      </c>
      <c r="I6">
        <v>11</v>
      </c>
    </row>
    <row r="7" spans="1:9">
      <c r="A7" s="17" t="s">
        <v>13</v>
      </c>
      <c r="H7" s="17" t="s">
        <v>14</v>
      </c>
      <c r="I7">
        <v>3</v>
      </c>
    </row>
    <row r="8" spans="1:9">
      <c r="A8" s="17" t="s">
        <v>15</v>
      </c>
      <c r="H8" s="17" t="s">
        <v>16</v>
      </c>
      <c r="I8">
        <v>102</v>
      </c>
    </row>
    <row r="9" spans="1:9">
      <c r="A9" s="17" t="s">
        <v>17</v>
      </c>
    </row>
    <row r="10" spans="1:9">
      <c r="A10" s="17" t="s">
        <v>18</v>
      </c>
    </row>
    <row r="11" spans="1:9">
      <c r="A11" s="17" t="s">
        <v>19</v>
      </c>
    </row>
    <row r="12" spans="1:9">
      <c r="A12" s="1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30C1-0CE5-4F00-BCFF-43FAFA9AD0DF}">
  <dimension ref="A1:P122"/>
  <sheetViews>
    <sheetView topLeftCell="A19" workbookViewId="0">
      <selection activeCell="K9" sqref="K9"/>
    </sheetView>
  </sheetViews>
  <sheetFormatPr defaultRowHeight="15"/>
  <cols>
    <col min="1" max="1" width="8.140625" style="3" customWidth="1"/>
    <col min="2" max="2" width="15.85546875" customWidth="1"/>
    <col min="3" max="3" width="14.42578125" customWidth="1"/>
    <col min="4" max="4" width="48.85546875" customWidth="1"/>
    <col min="5" max="5" width="12.28515625" customWidth="1"/>
    <col min="6" max="6" width="13.140625" style="3" customWidth="1"/>
    <col min="7" max="10" width="10.7109375" customWidth="1"/>
    <col min="11" max="11" width="10.28515625" customWidth="1"/>
    <col min="12" max="12" width="14.7109375" customWidth="1"/>
    <col min="13" max="13" width="17.140625" customWidth="1"/>
    <col min="14" max="14" width="18.42578125" customWidth="1"/>
    <col min="15" max="15" width="28.28515625" bestFit="1" customWidth="1"/>
    <col min="16" max="16" width="59.42578125" customWidth="1"/>
  </cols>
  <sheetData>
    <row r="1" spans="1:16" ht="45" customHeight="1">
      <c r="A1" s="7" t="s">
        <v>20</v>
      </c>
      <c r="B1" s="7" t="s">
        <v>0</v>
      </c>
      <c r="C1" s="7" t="s">
        <v>21</v>
      </c>
      <c r="D1" s="13" t="s">
        <v>22</v>
      </c>
      <c r="E1" s="46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46" t="s">
        <v>30</v>
      </c>
      <c r="M1" s="7" t="s">
        <v>31</v>
      </c>
      <c r="N1" s="46" t="s">
        <v>32</v>
      </c>
      <c r="O1" s="7" t="s">
        <v>33</v>
      </c>
      <c r="P1" s="7" t="s">
        <v>34</v>
      </c>
    </row>
    <row r="2" spans="1:16">
      <c r="A2" s="12">
        <v>14</v>
      </c>
      <c r="B2" s="17" t="s">
        <v>10</v>
      </c>
      <c r="C2" s="30" t="s">
        <v>35</v>
      </c>
      <c r="D2" s="31" t="s">
        <v>36</v>
      </c>
      <c r="E2" s="28" t="s">
        <v>37</v>
      </c>
      <c r="F2" s="15">
        <v>46005</v>
      </c>
      <c r="G2" t="s">
        <v>38</v>
      </c>
      <c r="H2" s="4"/>
      <c r="I2" t="s">
        <v>39</v>
      </c>
      <c r="J2" t="s">
        <v>40</v>
      </c>
      <c r="K2" s="20">
        <v>450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</row>
    <row r="3" spans="1:16">
      <c r="A3" s="12">
        <v>15</v>
      </c>
      <c r="B3" s="17" t="s">
        <v>10</v>
      </c>
      <c r="C3" s="32" t="s">
        <v>46</v>
      </c>
      <c r="D3" s="32" t="s">
        <v>47</v>
      </c>
      <c r="E3" s="27" t="s">
        <v>48</v>
      </c>
      <c r="F3" s="15">
        <v>46005</v>
      </c>
      <c r="G3" t="s">
        <v>38</v>
      </c>
      <c r="H3" s="4"/>
      <c r="I3" t="s">
        <v>39</v>
      </c>
      <c r="J3" t="s">
        <v>49</v>
      </c>
      <c r="K3" s="20">
        <v>500</v>
      </c>
      <c r="L3" t="s">
        <v>50</v>
      </c>
      <c r="M3" t="s">
        <v>51</v>
      </c>
      <c r="N3" t="s">
        <v>52</v>
      </c>
      <c r="O3" t="s">
        <v>44</v>
      </c>
    </row>
    <row r="4" spans="1:16">
      <c r="A4" s="12">
        <v>16</v>
      </c>
      <c r="B4" s="17" t="s">
        <v>10</v>
      </c>
      <c r="C4" s="32" t="s">
        <v>53</v>
      </c>
      <c r="D4" s="32" t="s">
        <v>54</v>
      </c>
      <c r="E4" s="27" t="s">
        <v>55</v>
      </c>
      <c r="F4" s="15">
        <v>46006</v>
      </c>
      <c r="G4" t="s">
        <v>38</v>
      </c>
      <c r="H4" s="4"/>
      <c r="I4" t="s">
        <v>56</v>
      </c>
      <c r="J4" t="s">
        <v>49</v>
      </c>
      <c r="K4" s="20">
        <v>500</v>
      </c>
      <c r="L4" t="s">
        <v>57</v>
      </c>
      <c r="M4" t="s">
        <v>58</v>
      </c>
      <c r="N4" t="s">
        <v>59</v>
      </c>
      <c r="O4" t="s">
        <v>44</v>
      </c>
      <c r="P4" t="s">
        <v>45</v>
      </c>
    </row>
    <row r="5" spans="1:16">
      <c r="A5" s="12">
        <v>17</v>
      </c>
      <c r="B5" s="17" t="s">
        <v>10</v>
      </c>
      <c r="C5" s="33" t="s">
        <v>60</v>
      </c>
      <c r="D5" s="33" t="s">
        <v>61</v>
      </c>
      <c r="E5" s="28" t="s">
        <v>62</v>
      </c>
      <c r="F5" s="15">
        <v>45865</v>
      </c>
      <c r="G5" t="s">
        <v>38</v>
      </c>
      <c r="H5" s="4"/>
      <c r="I5" t="s">
        <v>56</v>
      </c>
      <c r="J5" t="s">
        <v>49</v>
      </c>
      <c r="K5" s="20">
        <v>700</v>
      </c>
      <c r="L5" t="s">
        <v>63</v>
      </c>
      <c r="M5" t="s">
        <v>64</v>
      </c>
      <c r="N5" t="s">
        <v>65</v>
      </c>
      <c r="O5" t="s">
        <v>44</v>
      </c>
      <c r="P5" t="s">
        <v>45</v>
      </c>
    </row>
    <row r="6" spans="1:16">
      <c r="A6" s="34">
        <v>18</v>
      </c>
      <c r="B6" s="35" t="s">
        <v>9</v>
      </c>
      <c r="C6" s="36" t="s">
        <v>66</v>
      </c>
      <c r="D6" s="37" t="s">
        <v>67</v>
      </c>
      <c r="E6" s="36">
        <v>70809119</v>
      </c>
      <c r="F6" s="15">
        <v>45956</v>
      </c>
      <c r="G6" t="s">
        <v>38</v>
      </c>
      <c r="H6" s="4"/>
      <c r="I6" t="s">
        <v>39</v>
      </c>
      <c r="J6" t="s">
        <v>40</v>
      </c>
      <c r="K6" s="20">
        <v>350</v>
      </c>
      <c r="L6" t="s">
        <v>68</v>
      </c>
      <c r="M6" s="37" t="s">
        <v>69</v>
      </c>
      <c r="N6" t="s">
        <v>70</v>
      </c>
      <c r="O6" t="s">
        <v>44</v>
      </c>
      <c r="P6" t="s">
        <v>45</v>
      </c>
    </row>
    <row r="7" spans="1:16">
      <c r="A7" s="12">
        <v>20</v>
      </c>
      <c r="B7" s="17" t="s">
        <v>6</v>
      </c>
      <c r="C7" s="29" t="s">
        <v>71</v>
      </c>
      <c r="D7" s="38" t="s">
        <v>72</v>
      </c>
      <c r="E7" s="19" t="s">
        <v>73</v>
      </c>
      <c r="F7" s="15">
        <v>45939</v>
      </c>
      <c r="G7" t="s">
        <v>38</v>
      </c>
      <c r="H7" s="4"/>
      <c r="I7" t="s">
        <v>56</v>
      </c>
      <c r="J7" t="s">
        <v>40</v>
      </c>
      <c r="K7" s="20">
        <v>350</v>
      </c>
      <c r="L7" t="s">
        <v>74</v>
      </c>
      <c r="M7" t="s">
        <v>75</v>
      </c>
      <c r="N7" t="s">
        <v>76</v>
      </c>
      <c r="O7" t="s">
        <v>44</v>
      </c>
    </row>
    <row r="8" spans="1:16">
      <c r="A8" s="12">
        <v>29</v>
      </c>
      <c r="B8" s="17" t="s">
        <v>10</v>
      </c>
      <c r="C8" s="1" t="s">
        <v>77</v>
      </c>
      <c r="D8" s="1" t="s">
        <v>78</v>
      </c>
      <c r="E8" s="19" t="s">
        <v>79</v>
      </c>
      <c r="F8" s="15">
        <v>45692</v>
      </c>
      <c r="G8" t="s">
        <v>38</v>
      </c>
      <c r="H8" s="4" t="s">
        <v>38</v>
      </c>
      <c r="I8" t="s">
        <v>39</v>
      </c>
      <c r="J8" t="s">
        <v>40</v>
      </c>
      <c r="K8" s="20">
        <v>450</v>
      </c>
      <c r="L8" t="s">
        <v>80</v>
      </c>
      <c r="M8" t="s">
        <v>81</v>
      </c>
      <c r="N8" t="s">
        <v>82</v>
      </c>
      <c r="O8" t="s">
        <v>44</v>
      </c>
      <c r="P8" t="s">
        <v>45</v>
      </c>
    </row>
    <row r="9" spans="1:16">
      <c r="A9" s="12">
        <v>30</v>
      </c>
      <c r="B9" s="17" t="s">
        <v>10</v>
      </c>
      <c r="C9" s="1" t="s">
        <v>83</v>
      </c>
      <c r="D9" s="22" t="s">
        <v>84</v>
      </c>
      <c r="E9" s="19" t="s">
        <v>85</v>
      </c>
      <c r="F9" s="15">
        <v>45874</v>
      </c>
      <c r="H9" s="4"/>
      <c r="I9" t="s">
        <v>56</v>
      </c>
      <c r="J9" t="s">
        <v>49</v>
      </c>
      <c r="K9" s="20">
        <v>500</v>
      </c>
      <c r="L9" t="s">
        <v>86</v>
      </c>
      <c r="M9" t="s">
        <v>87</v>
      </c>
      <c r="N9" t="s">
        <v>88</v>
      </c>
      <c r="O9" t="s">
        <v>89</v>
      </c>
      <c r="P9" t="s">
        <v>45</v>
      </c>
    </row>
    <row r="10" spans="1:16">
      <c r="A10" s="12">
        <v>32</v>
      </c>
      <c r="B10" s="17" t="s">
        <v>10</v>
      </c>
      <c r="C10" s="24" t="s">
        <v>90</v>
      </c>
      <c r="D10" s="24" t="s">
        <v>91</v>
      </c>
      <c r="E10" s="19" t="s">
        <v>92</v>
      </c>
      <c r="F10" s="15">
        <v>45697</v>
      </c>
      <c r="G10" t="s">
        <v>38</v>
      </c>
      <c r="H10" s="4"/>
      <c r="I10" s="33" t="s">
        <v>39</v>
      </c>
      <c r="J10" t="s">
        <v>40</v>
      </c>
      <c r="K10" s="20">
        <v>350</v>
      </c>
      <c r="L10" t="s">
        <v>68</v>
      </c>
      <c r="M10" t="s">
        <v>93</v>
      </c>
      <c r="N10" t="s">
        <v>94</v>
      </c>
      <c r="O10" t="s">
        <v>44</v>
      </c>
      <c r="P10" t="s">
        <v>45</v>
      </c>
    </row>
    <row r="11" spans="1:16">
      <c r="A11" s="12">
        <v>42</v>
      </c>
      <c r="B11" s="17" t="s">
        <v>10</v>
      </c>
      <c r="C11" s="1" t="s">
        <v>95</v>
      </c>
      <c r="D11" s="1" t="s">
        <v>96</v>
      </c>
      <c r="E11" s="19" t="s">
        <v>97</v>
      </c>
      <c r="F11" s="15">
        <v>45893</v>
      </c>
      <c r="G11" t="s">
        <v>38</v>
      </c>
      <c r="H11" s="4"/>
      <c r="I11" t="s">
        <v>39</v>
      </c>
      <c r="J11" t="s">
        <v>98</v>
      </c>
      <c r="K11" s="20">
        <v>450</v>
      </c>
      <c r="L11" t="s">
        <v>99</v>
      </c>
      <c r="M11" t="s">
        <v>100</v>
      </c>
      <c r="N11" t="s">
        <v>101</v>
      </c>
      <c r="O11" t="s">
        <v>44</v>
      </c>
      <c r="P11" t="s">
        <v>45</v>
      </c>
    </row>
    <row r="12" spans="1:16">
      <c r="A12" s="12">
        <v>43</v>
      </c>
      <c r="B12" s="17" t="s">
        <v>10</v>
      </c>
      <c r="C12" s="1" t="s">
        <v>102</v>
      </c>
      <c r="D12" s="22" t="s">
        <v>103</v>
      </c>
      <c r="E12" s="19" t="s">
        <v>104</v>
      </c>
      <c r="F12" s="15">
        <v>45886</v>
      </c>
      <c r="G12" t="s">
        <v>38</v>
      </c>
      <c r="H12" s="4"/>
      <c r="I12" t="s">
        <v>39</v>
      </c>
      <c r="J12" t="s">
        <v>40</v>
      </c>
      <c r="K12" s="20">
        <v>350</v>
      </c>
      <c r="L12" t="s">
        <v>105</v>
      </c>
      <c r="M12" t="s">
        <v>106</v>
      </c>
      <c r="N12" t="s">
        <v>107</v>
      </c>
      <c r="O12" t="s">
        <v>44</v>
      </c>
      <c r="P12" t="s">
        <v>45</v>
      </c>
    </row>
    <row r="13" spans="1:16">
      <c r="A13" s="12">
        <v>47</v>
      </c>
      <c r="B13" s="17" t="s">
        <v>10</v>
      </c>
      <c r="C13" s="1" t="s">
        <v>108</v>
      </c>
      <c r="D13" s="1" t="s">
        <v>109</v>
      </c>
      <c r="E13" s="19" t="s">
        <v>110</v>
      </c>
      <c r="F13" s="15">
        <v>45721</v>
      </c>
      <c r="H13" s="4"/>
      <c r="I13" t="s">
        <v>56</v>
      </c>
      <c r="J13" t="s">
        <v>40</v>
      </c>
      <c r="K13" s="20">
        <v>350</v>
      </c>
      <c r="L13" t="s">
        <v>111</v>
      </c>
      <c r="M13" t="s">
        <v>112</v>
      </c>
      <c r="N13" s="40" t="s">
        <v>113</v>
      </c>
      <c r="O13" t="s">
        <v>44</v>
      </c>
      <c r="P13" t="s">
        <v>45</v>
      </c>
    </row>
    <row r="14" spans="1:16">
      <c r="A14" s="12">
        <v>49</v>
      </c>
      <c r="B14" s="17" t="s">
        <v>10</v>
      </c>
      <c r="C14" s="1" t="s">
        <v>114</v>
      </c>
      <c r="D14" s="1" t="s">
        <v>115</v>
      </c>
      <c r="E14" s="19" t="s">
        <v>116</v>
      </c>
      <c r="F14" s="15">
        <v>45725</v>
      </c>
      <c r="H14" s="4"/>
      <c r="I14" t="s">
        <v>39</v>
      </c>
      <c r="J14" t="s">
        <v>40</v>
      </c>
      <c r="K14" s="20">
        <v>350</v>
      </c>
      <c r="L14" t="s">
        <v>117</v>
      </c>
      <c r="M14" t="s">
        <v>118</v>
      </c>
      <c r="N14" s="40" t="s">
        <v>119</v>
      </c>
      <c r="O14" t="s">
        <v>44</v>
      </c>
      <c r="P14" t="s">
        <v>45</v>
      </c>
    </row>
    <row r="15" spans="1:16">
      <c r="A15" s="12">
        <v>50</v>
      </c>
      <c r="B15" s="17" t="s">
        <v>10</v>
      </c>
      <c r="C15" s="1" t="s">
        <v>120</v>
      </c>
      <c r="D15" s="1" t="s">
        <v>121</v>
      </c>
      <c r="E15" s="19" t="s">
        <v>122</v>
      </c>
      <c r="F15" s="15">
        <v>45911</v>
      </c>
      <c r="G15" t="s">
        <v>38</v>
      </c>
      <c r="H15" s="4" t="s">
        <v>38</v>
      </c>
      <c r="I15" t="s">
        <v>39</v>
      </c>
      <c r="J15" t="s">
        <v>40</v>
      </c>
      <c r="K15" s="20">
        <v>500</v>
      </c>
      <c r="L15" t="s">
        <v>123</v>
      </c>
      <c r="M15" t="s">
        <v>124</v>
      </c>
      <c r="N15" s="40" t="s">
        <v>125</v>
      </c>
      <c r="O15" t="s">
        <v>44</v>
      </c>
      <c r="P15" t="s">
        <v>45</v>
      </c>
    </row>
    <row r="16" spans="1:16">
      <c r="A16" s="12">
        <v>51</v>
      </c>
      <c r="B16" s="17" t="s">
        <v>10</v>
      </c>
      <c r="C16" s="1" t="s">
        <v>126</v>
      </c>
      <c r="D16" s="1" t="s">
        <v>127</v>
      </c>
      <c r="E16" s="19" t="s">
        <v>128</v>
      </c>
      <c r="F16" s="15">
        <v>45914</v>
      </c>
      <c r="H16" s="4"/>
      <c r="I16" t="s">
        <v>39</v>
      </c>
      <c r="J16" t="s">
        <v>49</v>
      </c>
      <c r="K16" s="20">
        <v>500</v>
      </c>
      <c r="L16" t="s">
        <v>129</v>
      </c>
      <c r="M16" t="s">
        <v>130</v>
      </c>
      <c r="N16" s="40" t="s">
        <v>119</v>
      </c>
      <c r="O16" t="s">
        <v>44</v>
      </c>
      <c r="P16" t="s">
        <v>45</v>
      </c>
    </row>
    <row r="17" spans="1:16">
      <c r="A17" s="12">
        <v>52</v>
      </c>
      <c r="B17" s="17" t="s">
        <v>10</v>
      </c>
      <c r="C17" s="1" t="s">
        <v>131</v>
      </c>
      <c r="D17" s="1" t="s">
        <v>132</v>
      </c>
      <c r="E17" s="19" t="s">
        <v>133</v>
      </c>
      <c r="F17" s="15">
        <v>45739</v>
      </c>
      <c r="G17" t="s">
        <v>38</v>
      </c>
      <c r="H17" s="4" t="s">
        <v>38</v>
      </c>
      <c r="I17" t="s">
        <v>39</v>
      </c>
      <c r="J17" t="s">
        <v>40</v>
      </c>
      <c r="K17" s="20">
        <v>400</v>
      </c>
      <c r="L17" t="s">
        <v>134</v>
      </c>
      <c r="M17" t="s">
        <v>135</v>
      </c>
      <c r="N17" s="40" t="s">
        <v>136</v>
      </c>
      <c r="O17" t="s">
        <v>44</v>
      </c>
      <c r="P17" t="s">
        <v>45</v>
      </c>
    </row>
    <row r="18" spans="1:16">
      <c r="A18" s="12">
        <v>53</v>
      </c>
      <c r="B18" s="17" t="s">
        <v>10</v>
      </c>
      <c r="C18" s="1" t="s">
        <v>137</v>
      </c>
      <c r="D18" s="1" t="s">
        <v>138</v>
      </c>
      <c r="E18" s="19">
        <v>960800360</v>
      </c>
      <c r="F18" s="15">
        <v>45922</v>
      </c>
      <c r="G18" t="s">
        <v>38</v>
      </c>
      <c r="H18" s="4" t="s">
        <v>38</v>
      </c>
      <c r="I18" t="s">
        <v>39</v>
      </c>
      <c r="J18" t="s">
        <v>40</v>
      </c>
      <c r="K18" s="20">
        <v>400</v>
      </c>
      <c r="L18" t="s">
        <v>139</v>
      </c>
      <c r="M18" t="s">
        <v>140</v>
      </c>
      <c r="N18" s="40" t="s">
        <v>141</v>
      </c>
      <c r="O18" t="s">
        <v>44</v>
      </c>
      <c r="P18" t="s">
        <v>45</v>
      </c>
    </row>
    <row r="19" spans="1:16">
      <c r="A19" s="12">
        <v>54</v>
      </c>
      <c r="B19" s="17" t="s">
        <v>10</v>
      </c>
      <c r="C19" s="1" t="s">
        <v>142</v>
      </c>
      <c r="D19" s="1" t="s">
        <v>143</v>
      </c>
      <c r="E19" s="19" t="s">
        <v>144</v>
      </c>
      <c r="F19" s="15">
        <v>45922</v>
      </c>
      <c r="G19" t="s">
        <v>38</v>
      </c>
      <c r="H19" s="4" t="s">
        <v>38</v>
      </c>
      <c r="I19" t="s">
        <v>39</v>
      </c>
      <c r="J19" t="s">
        <v>49</v>
      </c>
      <c r="K19" s="20">
        <v>600</v>
      </c>
      <c r="L19" t="s">
        <v>145</v>
      </c>
      <c r="M19" t="s">
        <v>146</v>
      </c>
      <c r="N19" s="40" t="s">
        <v>65</v>
      </c>
      <c r="O19" t="s">
        <v>44</v>
      </c>
      <c r="P19" t="s">
        <v>45</v>
      </c>
    </row>
    <row r="20" spans="1:16">
      <c r="A20" s="12">
        <v>55</v>
      </c>
      <c r="B20" s="17" t="s">
        <v>9</v>
      </c>
      <c r="C20" s="1" t="s">
        <v>147</v>
      </c>
      <c r="D20" s="1" t="s">
        <v>148</v>
      </c>
      <c r="E20" s="19">
        <v>10306587</v>
      </c>
      <c r="F20" s="15">
        <v>45921</v>
      </c>
      <c r="G20" t="s">
        <v>38</v>
      </c>
      <c r="H20" s="4" t="s">
        <v>38</v>
      </c>
      <c r="I20" t="s">
        <v>39</v>
      </c>
      <c r="J20" t="s">
        <v>49</v>
      </c>
      <c r="K20" s="20">
        <v>378</v>
      </c>
      <c r="L20" t="s">
        <v>50</v>
      </c>
      <c r="M20" t="s">
        <v>149</v>
      </c>
      <c r="N20" s="40" t="s">
        <v>150</v>
      </c>
      <c r="O20" t="s">
        <v>44</v>
      </c>
    </row>
    <row r="21" spans="1:16">
      <c r="A21" s="12">
        <v>56</v>
      </c>
      <c r="B21" s="17" t="s">
        <v>9</v>
      </c>
      <c r="C21" s="1" t="s">
        <v>151</v>
      </c>
      <c r="D21" s="1" t="s">
        <v>152</v>
      </c>
      <c r="E21" s="19">
        <v>920300600</v>
      </c>
      <c r="F21" s="15">
        <v>45921</v>
      </c>
      <c r="H21" s="4"/>
      <c r="I21" t="s">
        <v>56</v>
      </c>
      <c r="J21" t="s">
        <v>49</v>
      </c>
      <c r="K21" s="20">
        <v>500</v>
      </c>
      <c r="L21" t="s">
        <v>86</v>
      </c>
      <c r="M21" t="s">
        <v>153</v>
      </c>
      <c r="N21" s="40" t="s">
        <v>154</v>
      </c>
    </row>
    <row r="22" spans="1:16">
      <c r="A22" s="12">
        <v>57</v>
      </c>
      <c r="B22" s="17" t="s">
        <v>10</v>
      </c>
      <c r="C22" s="1" t="s">
        <v>155</v>
      </c>
      <c r="D22" s="1" t="s">
        <v>156</v>
      </c>
      <c r="E22" s="19" t="s">
        <v>157</v>
      </c>
      <c r="F22" s="15">
        <v>45740</v>
      </c>
      <c r="G22" t="s">
        <v>38</v>
      </c>
      <c r="H22" s="4" t="s">
        <v>38</v>
      </c>
      <c r="I22" t="s">
        <v>56</v>
      </c>
      <c r="J22" t="s">
        <v>49</v>
      </c>
      <c r="K22" s="20">
        <v>500</v>
      </c>
      <c r="L22" t="s">
        <v>158</v>
      </c>
      <c r="M22" t="s">
        <v>140</v>
      </c>
      <c r="N22" s="40" t="s">
        <v>141</v>
      </c>
      <c r="O22" t="s">
        <v>44</v>
      </c>
      <c r="P22" t="s">
        <v>45</v>
      </c>
    </row>
    <row r="23" spans="1:16">
      <c r="A23" s="12">
        <v>58</v>
      </c>
      <c r="B23" s="17" t="s">
        <v>9</v>
      </c>
      <c r="C23" s="1" t="s">
        <v>159</v>
      </c>
      <c r="D23" s="1" t="s">
        <v>160</v>
      </c>
      <c r="E23" s="19">
        <v>891103503</v>
      </c>
      <c r="F23" s="15">
        <v>45792</v>
      </c>
      <c r="H23" s="4"/>
      <c r="I23" t="s">
        <v>39</v>
      </c>
      <c r="K23" s="20"/>
      <c r="M23" t="s">
        <v>93</v>
      </c>
      <c r="N23" s="40" t="s">
        <v>94</v>
      </c>
      <c r="O23" t="s">
        <v>44</v>
      </c>
    </row>
    <row r="24" spans="1:16">
      <c r="A24" s="12">
        <v>59</v>
      </c>
      <c r="B24" s="17" t="s">
        <v>1</v>
      </c>
      <c r="C24" s="1" t="s">
        <v>161</v>
      </c>
      <c r="D24" s="1" t="s">
        <v>162</v>
      </c>
      <c r="E24" s="19" t="s">
        <v>163</v>
      </c>
      <c r="F24" s="15">
        <v>45922</v>
      </c>
      <c r="G24" t="s">
        <v>38</v>
      </c>
      <c r="H24" s="4"/>
      <c r="I24" t="s">
        <v>39</v>
      </c>
      <c r="J24" t="s">
        <v>98</v>
      </c>
      <c r="K24" s="20">
        <v>1200</v>
      </c>
      <c r="L24" t="s">
        <v>164</v>
      </c>
      <c r="M24" t="s">
        <v>165</v>
      </c>
      <c r="N24" s="40" t="s">
        <v>166</v>
      </c>
      <c r="O24" t="s">
        <v>44</v>
      </c>
      <c r="P24" t="s">
        <v>167</v>
      </c>
    </row>
    <row r="25" spans="1:16">
      <c r="A25" s="12">
        <v>60</v>
      </c>
      <c r="B25" s="17" t="s">
        <v>12</v>
      </c>
      <c r="C25" s="1" t="s">
        <v>168</v>
      </c>
      <c r="D25" s="1" t="s">
        <v>169</v>
      </c>
      <c r="E25" s="19" t="s">
        <v>170</v>
      </c>
      <c r="F25" s="15">
        <v>45927</v>
      </c>
      <c r="G25" t="s">
        <v>171</v>
      </c>
      <c r="H25" s="4" t="s">
        <v>171</v>
      </c>
      <c r="I25" t="s">
        <v>56</v>
      </c>
      <c r="J25" t="s">
        <v>40</v>
      </c>
      <c r="K25" s="20">
        <v>350</v>
      </c>
      <c r="L25" t="s">
        <v>74</v>
      </c>
      <c r="M25" t="s">
        <v>172</v>
      </c>
      <c r="N25" t="s">
        <v>173</v>
      </c>
      <c r="O25" t="s">
        <v>44</v>
      </c>
    </row>
    <row r="26" spans="1:16">
      <c r="A26" s="12">
        <v>61</v>
      </c>
      <c r="B26" s="17" t="s">
        <v>9</v>
      </c>
      <c r="C26" s="1" t="s">
        <v>174</v>
      </c>
      <c r="D26" s="1" t="s">
        <v>175</v>
      </c>
      <c r="E26" s="19">
        <v>1203282</v>
      </c>
      <c r="F26" s="15">
        <v>45811</v>
      </c>
      <c r="G26" t="s">
        <v>38</v>
      </c>
      <c r="H26" s="4"/>
      <c r="I26" t="s">
        <v>56</v>
      </c>
      <c r="J26" t="s">
        <v>49</v>
      </c>
      <c r="K26" s="20">
        <v>500</v>
      </c>
      <c r="L26" t="s">
        <v>176</v>
      </c>
      <c r="M26" t="s">
        <v>177</v>
      </c>
      <c r="N26" s="40" t="s">
        <v>178</v>
      </c>
      <c r="O26" t="s">
        <v>44</v>
      </c>
    </row>
    <row r="27" spans="1:16">
      <c r="A27" s="12">
        <v>64</v>
      </c>
      <c r="B27" s="17" t="s">
        <v>9</v>
      </c>
      <c r="C27" s="1" t="s">
        <v>179</v>
      </c>
      <c r="D27" s="1" t="s">
        <v>180</v>
      </c>
      <c r="E27" s="19">
        <v>950405051</v>
      </c>
      <c r="F27" s="15">
        <v>45819</v>
      </c>
      <c r="G27" t="s">
        <v>38</v>
      </c>
      <c r="H27" s="4"/>
      <c r="I27" t="s">
        <v>39</v>
      </c>
      <c r="J27" t="s">
        <v>40</v>
      </c>
      <c r="K27" s="20"/>
      <c r="M27" t="s">
        <v>181</v>
      </c>
      <c r="N27" s="40" t="s">
        <v>182</v>
      </c>
      <c r="O27" t="s">
        <v>44</v>
      </c>
    </row>
    <row r="28" spans="1:16">
      <c r="A28" s="12">
        <v>65</v>
      </c>
      <c r="B28" s="17" t="s">
        <v>6</v>
      </c>
      <c r="C28" s="1" t="s">
        <v>183</v>
      </c>
      <c r="D28" s="1" t="s">
        <v>184</v>
      </c>
      <c r="E28" s="19">
        <v>970303335</v>
      </c>
      <c r="F28" s="15">
        <v>46012</v>
      </c>
      <c r="G28" t="s">
        <v>38</v>
      </c>
      <c r="H28" s="4" t="s">
        <v>38</v>
      </c>
      <c r="I28" t="s">
        <v>39</v>
      </c>
      <c r="J28" t="s">
        <v>98</v>
      </c>
      <c r="K28" s="20">
        <v>700</v>
      </c>
      <c r="L28" t="s">
        <v>80</v>
      </c>
      <c r="M28" t="s">
        <v>185</v>
      </c>
      <c r="N28" s="40" t="s">
        <v>186</v>
      </c>
      <c r="O28" t="s">
        <v>44</v>
      </c>
    </row>
    <row r="29" spans="1:16">
      <c r="A29" s="12">
        <v>97</v>
      </c>
      <c r="B29" s="17" t="s">
        <v>10</v>
      </c>
      <c r="C29" s="1" t="s">
        <v>187</v>
      </c>
      <c r="D29" s="24" t="s">
        <v>188</v>
      </c>
      <c r="E29" s="19" t="s">
        <v>189</v>
      </c>
      <c r="F29" s="15">
        <v>45931</v>
      </c>
      <c r="H29" s="4"/>
      <c r="I29" t="s">
        <v>39</v>
      </c>
      <c r="J29" t="s">
        <v>49</v>
      </c>
      <c r="K29" s="20">
        <v>500</v>
      </c>
      <c r="L29" t="s">
        <v>190</v>
      </c>
      <c r="M29" t="s">
        <v>191</v>
      </c>
      <c r="N29" t="s">
        <v>192</v>
      </c>
      <c r="O29" t="s">
        <v>44</v>
      </c>
      <c r="P29" t="s">
        <v>193</v>
      </c>
    </row>
    <row r="30" spans="1:16">
      <c r="A30" s="12">
        <v>98</v>
      </c>
      <c r="B30" s="17" t="s">
        <v>10</v>
      </c>
      <c r="C30" s="1" t="s">
        <v>194</v>
      </c>
      <c r="D30" s="1" t="s">
        <v>195</v>
      </c>
      <c r="E30" s="47">
        <v>890201641</v>
      </c>
      <c r="F30" s="15">
        <v>45935</v>
      </c>
      <c r="G30" t="s">
        <v>38</v>
      </c>
      <c r="H30" s="4"/>
      <c r="I30" t="s">
        <v>39</v>
      </c>
      <c r="J30" t="s">
        <v>40</v>
      </c>
      <c r="K30" s="20">
        <v>350</v>
      </c>
      <c r="L30" t="s">
        <v>196</v>
      </c>
      <c r="M30" t="s">
        <v>197</v>
      </c>
      <c r="N30" t="s">
        <v>198</v>
      </c>
      <c r="O30" t="s">
        <v>44</v>
      </c>
      <c r="P30" t="s">
        <v>193</v>
      </c>
    </row>
    <row r="31" spans="1:16">
      <c r="A31" s="12">
        <v>99</v>
      </c>
      <c r="B31" s="17" t="s">
        <v>10</v>
      </c>
      <c r="C31" s="1" t="s">
        <v>199</v>
      </c>
      <c r="D31" s="24" t="s">
        <v>200</v>
      </c>
      <c r="E31" s="19" t="s">
        <v>201</v>
      </c>
      <c r="F31" s="15">
        <v>45939</v>
      </c>
      <c r="G31" t="s">
        <v>38</v>
      </c>
      <c r="H31" s="4"/>
      <c r="I31" t="s">
        <v>39</v>
      </c>
      <c r="J31" t="s">
        <v>40</v>
      </c>
      <c r="K31" s="20">
        <v>420</v>
      </c>
      <c r="L31" t="s">
        <v>202</v>
      </c>
      <c r="M31" t="s">
        <v>51</v>
      </c>
      <c r="N31" t="s">
        <v>52</v>
      </c>
      <c r="O31" t="s">
        <v>44</v>
      </c>
      <c r="P31" s="39" t="s">
        <v>203</v>
      </c>
    </row>
    <row r="32" spans="1:16">
      <c r="A32" s="12">
        <v>100</v>
      </c>
      <c r="B32" s="17" t="s">
        <v>10</v>
      </c>
      <c r="C32" s="1" t="s">
        <v>204</v>
      </c>
      <c r="D32" s="1" t="s">
        <v>205</v>
      </c>
      <c r="E32" s="19" t="s">
        <v>206</v>
      </c>
      <c r="F32" s="15">
        <v>45942</v>
      </c>
      <c r="G32" t="s">
        <v>38</v>
      </c>
      <c r="H32" s="4"/>
      <c r="I32" t="s">
        <v>39</v>
      </c>
      <c r="J32" t="s">
        <v>49</v>
      </c>
      <c r="K32" s="20">
        <v>500</v>
      </c>
      <c r="L32" t="s">
        <v>207</v>
      </c>
      <c r="M32" t="s">
        <v>208</v>
      </c>
      <c r="N32" t="s">
        <v>209</v>
      </c>
      <c r="O32" t="s">
        <v>44</v>
      </c>
      <c r="P32" t="s">
        <v>193</v>
      </c>
    </row>
    <row r="33" spans="1:16">
      <c r="A33" s="12">
        <v>101</v>
      </c>
      <c r="B33" s="17" t="s">
        <v>10</v>
      </c>
      <c r="C33" s="1" t="s">
        <v>210</v>
      </c>
      <c r="D33" s="1" t="s">
        <v>211</v>
      </c>
      <c r="E33" s="47">
        <v>990102378</v>
      </c>
      <c r="F33" s="15">
        <v>45942</v>
      </c>
      <c r="H33" s="4"/>
      <c r="I33" t="s">
        <v>39</v>
      </c>
      <c r="J33" t="s">
        <v>49</v>
      </c>
      <c r="K33" s="20">
        <v>850</v>
      </c>
      <c r="L33" t="s">
        <v>212</v>
      </c>
      <c r="M33" t="s">
        <v>146</v>
      </c>
      <c r="N33" t="s">
        <v>213</v>
      </c>
      <c r="O33" t="s">
        <v>44</v>
      </c>
      <c r="P33" s="39" t="s">
        <v>203</v>
      </c>
    </row>
    <row r="34" spans="1:16">
      <c r="A34" s="12">
        <v>102</v>
      </c>
      <c r="B34" s="17" t="s">
        <v>10</v>
      </c>
      <c r="C34" s="1" t="s">
        <v>214</v>
      </c>
      <c r="D34" s="40" t="s">
        <v>215</v>
      </c>
      <c r="E34" s="19" t="s">
        <v>216</v>
      </c>
      <c r="F34" s="15">
        <v>45931</v>
      </c>
      <c r="G34" t="s">
        <v>38</v>
      </c>
      <c r="H34" s="4" t="s">
        <v>38</v>
      </c>
      <c r="I34" t="s">
        <v>39</v>
      </c>
      <c r="J34" t="s">
        <v>49</v>
      </c>
      <c r="K34" s="20">
        <v>500</v>
      </c>
      <c r="L34" t="s">
        <v>217</v>
      </c>
      <c r="M34" t="s">
        <v>191</v>
      </c>
      <c r="O34" t="s">
        <v>44</v>
      </c>
      <c r="P34" t="s">
        <v>193</v>
      </c>
    </row>
    <row r="35" spans="1:16">
      <c r="A35" s="12">
        <v>103</v>
      </c>
      <c r="B35" s="17" t="s">
        <v>10</v>
      </c>
      <c r="C35" s="1" t="s">
        <v>218</v>
      </c>
      <c r="D35" s="24" t="s">
        <v>219</v>
      </c>
      <c r="E35" s="19" t="s">
        <v>220</v>
      </c>
      <c r="F35" s="15">
        <v>45760</v>
      </c>
      <c r="H35" s="4"/>
      <c r="I35" t="s">
        <v>39</v>
      </c>
      <c r="J35" t="s">
        <v>49</v>
      </c>
      <c r="K35" s="20">
        <v>500</v>
      </c>
      <c r="L35" t="s">
        <v>221</v>
      </c>
      <c r="M35" t="s">
        <v>135</v>
      </c>
      <c r="N35" t="s">
        <v>222</v>
      </c>
      <c r="O35" t="s">
        <v>44</v>
      </c>
      <c r="P35" t="s">
        <v>223</v>
      </c>
    </row>
    <row r="36" spans="1:16">
      <c r="A36" s="12">
        <v>105</v>
      </c>
      <c r="B36" s="17" t="s">
        <v>10</v>
      </c>
      <c r="C36" s="1" t="s">
        <v>224</v>
      </c>
      <c r="D36" s="24" t="s">
        <v>225</v>
      </c>
      <c r="E36" s="47">
        <v>980903750</v>
      </c>
      <c r="F36" s="15">
        <v>45763</v>
      </c>
      <c r="G36" t="s">
        <v>38</v>
      </c>
      <c r="H36" s="4"/>
      <c r="I36" t="s">
        <v>39</v>
      </c>
      <c r="J36" t="s">
        <v>49</v>
      </c>
      <c r="K36" s="20">
        <v>500</v>
      </c>
      <c r="L36" t="s">
        <v>226</v>
      </c>
      <c r="M36" t="s">
        <v>135</v>
      </c>
      <c r="N36" t="s">
        <v>222</v>
      </c>
      <c r="O36" t="s">
        <v>44</v>
      </c>
      <c r="P36" t="s">
        <v>223</v>
      </c>
    </row>
    <row r="37" spans="1:16">
      <c r="A37" s="12">
        <v>106</v>
      </c>
      <c r="B37" s="17" t="s">
        <v>10</v>
      </c>
      <c r="C37" s="1" t="s">
        <v>227</v>
      </c>
      <c r="D37" s="24" t="s">
        <v>228</v>
      </c>
      <c r="E37" s="19" t="s">
        <v>229</v>
      </c>
      <c r="F37" s="15">
        <v>45741</v>
      </c>
      <c r="H37" s="4"/>
      <c r="I37" t="s">
        <v>39</v>
      </c>
      <c r="J37" t="s">
        <v>40</v>
      </c>
      <c r="K37" s="20">
        <v>350</v>
      </c>
      <c r="L37" t="s">
        <v>230</v>
      </c>
      <c r="M37" t="s">
        <v>231</v>
      </c>
      <c r="N37" t="s">
        <v>232</v>
      </c>
      <c r="O37" t="s">
        <v>44</v>
      </c>
      <c r="P37" t="s">
        <v>223</v>
      </c>
    </row>
    <row r="38" spans="1:16">
      <c r="A38" s="12">
        <v>107</v>
      </c>
      <c r="B38" s="17" t="s">
        <v>10</v>
      </c>
      <c r="C38" s="17" t="s">
        <v>233</v>
      </c>
      <c r="D38" s="17" t="s">
        <v>234</v>
      </c>
      <c r="E38" s="19" t="s">
        <v>235</v>
      </c>
      <c r="F38" s="15">
        <v>45751</v>
      </c>
      <c r="H38" s="4"/>
      <c r="I38" t="s">
        <v>56</v>
      </c>
      <c r="J38" t="s">
        <v>49</v>
      </c>
      <c r="K38" s="20">
        <v>820</v>
      </c>
      <c r="L38" t="s">
        <v>236</v>
      </c>
      <c r="M38" t="s">
        <v>237</v>
      </c>
      <c r="N38" t="s">
        <v>238</v>
      </c>
      <c r="O38" t="s">
        <v>44</v>
      </c>
      <c r="P38" t="s">
        <v>223</v>
      </c>
    </row>
    <row r="39" spans="1:16">
      <c r="A39" s="12">
        <v>108</v>
      </c>
      <c r="B39" s="17" t="s">
        <v>10</v>
      </c>
      <c r="C39" s="17" t="s">
        <v>239</v>
      </c>
      <c r="D39" s="17" t="s">
        <v>240</v>
      </c>
      <c r="E39" s="19" t="s">
        <v>241</v>
      </c>
      <c r="F39" s="15">
        <v>45767</v>
      </c>
      <c r="H39" s="4"/>
      <c r="I39" t="s">
        <v>39</v>
      </c>
      <c r="J39" t="s">
        <v>49</v>
      </c>
      <c r="K39" s="20">
        <v>700</v>
      </c>
      <c r="L39" s="52" t="s">
        <v>242</v>
      </c>
      <c r="M39" t="s">
        <v>243</v>
      </c>
      <c r="N39" t="s">
        <v>244</v>
      </c>
      <c r="O39" t="s">
        <v>44</v>
      </c>
      <c r="P39" t="s">
        <v>223</v>
      </c>
    </row>
    <row r="40" spans="1:16">
      <c r="A40" s="12">
        <v>109</v>
      </c>
      <c r="B40" s="17" t="s">
        <v>1</v>
      </c>
      <c r="C40" s="17" t="s">
        <v>245</v>
      </c>
      <c r="D40" s="17" t="s">
        <v>1181</v>
      </c>
      <c r="E40" s="19"/>
      <c r="F40" s="15">
        <v>45931</v>
      </c>
      <c r="H40" s="4"/>
      <c r="K40" s="20"/>
    </row>
    <row r="41" spans="1:16">
      <c r="A41" s="12">
        <v>110</v>
      </c>
      <c r="B41" s="17" t="s">
        <v>12</v>
      </c>
      <c r="C41" s="17" t="s">
        <v>246</v>
      </c>
      <c r="D41" s="17" t="s">
        <v>247</v>
      </c>
      <c r="E41" s="19" t="s">
        <v>248</v>
      </c>
      <c r="F41" s="15">
        <v>45719</v>
      </c>
      <c r="G41" t="s">
        <v>38</v>
      </c>
      <c r="H41" s="4" t="s">
        <v>171</v>
      </c>
      <c r="I41" t="s">
        <v>39</v>
      </c>
      <c r="J41" t="s">
        <v>40</v>
      </c>
      <c r="K41" s="20">
        <v>350</v>
      </c>
      <c r="L41" t="s">
        <v>249</v>
      </c>
      <c r="M41" t="s">
        <v>250</v>
      </c>
      <c r="N41" t="s">
        <v>251</v>
      </c>
      <c r="O41" t="s">
        <v>44</v>
      </c>
    </row>
    <row r="42" spans="1:16">
      <c r="A42" s="12">
        <v>111</v>
      </c>
      <c r="B42" s="17" t="s">
        <v>12</v>
      </c>
      <c r="C42" s="17" t="s">
        <v>252</v>
      </c>
      <c r="D42" s="17" t="s">
        <v>253</v>
      </c>
      <c r="E42" s="19" t="s">
        <v>254</v>
      </c>
      <c r="F42" s="15">
        <v>45735</v>
      </c>
      <c r="G42" t="s">
        <v>38</v>
      </c>
      <c r="H42" s="4" t="s">
        <v>171</v>
      </c>
      <c r="I42" t="s">
        <v>39</v>
      </c>
      <c r="J42" t="s">
        <v>49</v>
      </c>
      <c r="K42" s="20">
        <v>500</v>
      </c>
      <c r="L42" t="s">
        <v>255</v>
      </c>
      <c r="M42" t="s">
        <v>256</v>
      </c>
      <c r="N42" t="s">
        <v>257</v>
      </c>
      <c r="O42" t="s">
        <v>44</v>
      </c>
    </row>
    <row r="43" spans="1:16">
      <c r="A43" s="12">
        <v>112</v>
      </c>
      <c r="B43" s="17" t="s">
        <v>12</v>
      </c>
      <c r="C43" s="17" t="s">
        <v>258</v>
      </c>
      <c r="D43" s="17" t="s">
        <v>259</v>
      </c>
      <c r="E43" s="19" t="s">
        <v>260</v>
      </c>
      <c r="F43" s="15">
        <v>45741</v>
      </c>
      <c r="G43" t="s">
        <v>38</v>
      </c>
      <c r="H43" s="4" t="s">
        <v>171</v>
      </c>
      <c r="I43" t="s">
        <v>39</v>
      </c>
      <c r="J43" t="s">
        <v>49</v>
      </c>
      <c r="K43" s="20">
        <v>500</v>
      </c>
      <c r="L43" t="s">
        <v>261</v>
      </c>
      <c r="M43" t="s">
        <v>262</v>
      </c>
      <c r="N43" t="s">
        <v>263</v>
      </c>
      <c r="O43" t="s">
        <v>44</v>
      </c>
    </row>
    <row r="44" spans="1:16">
      <c r="A44" s="12">
        <v>113</v>
      </c>
      <c r="B44" s="17" t="s">
        <v>12</v>
      </c>
      <c r="C44" s="17" t="s">
        <v>264</v>
      </c>
      <c r="D44" s="17" t="s">
        <v>265</v>
      </c>
      <c r="E44" s="19" t="s">
        <v>266</v>
      </c>
      <c r="F44" s="15">
        <v>45863</v>
      </c>
      <c r="G44" t="s">
        <v>38</v>
      </c>
      <c r="H44" s="4" t="s">
        <v>171</v>
      </c>
      <c r="I44" t="s">
        <v>39</v>
      </c>
      <c r="J44" t="s">
        <v>49</v>
      </c>
      <c r="K44" s="20">
        <v>500</v>
      </c>
      <c r="L44" t="s">
        <v>267</v>
      </c>
      <c r="M44" t="s">
        <v>268</v>
      </c>
      <c r="N44" t="s">
        <v>269</v>
      </c>
      <c r="O44" t="s">
        <v>44</v>
      </c>
    </row>
    <row r="45" spans="1:16">
      <c r="A45" s="12">
        <v>114</v>
      </c>
      <c r="B45" s="17" t="s">
        <v>1</v>
      </c>
      <c r="C45" s="17" t="s">
        <v>15</v>
      </c>
      <c r="D45" s="17" t="s">
        <v>1181</v>
      </c>
      <c r="E45" s="19"/>
      <c r="F45" s="15">
        <v>45710</v>
      </c>
      <c r="H45" s="4"/>
      <c r="K45" s="20"/>
    </row>
    <row r="46" spans="1:16">
      <c r="A46" s="12">
        <v>115</v>
      </c>
      <c r="B46" s="17" t="s">
        <v>1</v>
      </c>
      <c r="C46" s="17" t="s">
        <v>17</v>
      </c>
      <c r="D46" s="17" t="s">
        <v>1181</v>
      </c>
      <c r="E46" s="19"/>
      <c r="F46" s="15">
        <v>45760</v>
      </c>
      <c r="H46" s="4"/>
      <c r="K46" s="20"/>
    </row>
    <row r="47" spans="1:16">
      <c r="A47" s="12">
        <v>116</v>
      </c>
      <c r="B47" s="17" t="s">
        <v>12</v>
      </c>
      <c r="C47" s="17" t="s">
        <v>270</v>
      </c>
      <c r="D47" s="17" t="s">
        <v>271</v>
      </c>
      <c r="E47" s="19" t="s">
        <v>272</v>
      </c>
      <c r="F47" s="15">
        <v>45886</v>
      </c>
      <c r="G47" t="s">
        <v>38</v>
      </c>
      <c r="H47" s="4" t="s">
        <v>171</v>
      </c>
      <c r="I47" t="s">
        <v>39</v>
      </c>
      <c r="J47" t="s">
        <v>40</v>
      </c>
      <c r="K47" s="20">
        <v>350</v>
      </c>
      <c r="L47" t="s">
        <v>273</v>
      </c>
      <c r="M47" t="s">
        <v>274</v>
      </c>
      <c r="N47" t="s">
        <v>275</v>
      </c>
      <c r="O47" t="s">
        <v>44</v>
      </c>
    </row>
    <row r="48" spans="1:16">
      <c r="A48" s="12">
        <v>117</v>
      </c>
      <c r="B48" s="17" t="s">
        <v>12</v>
      </c>
      <c r="C48" s="17" t="s">
        <v>276</v>
      </c>
      <c r="D48" s="17" t="s">
        <v>277</v>
      </c>
      <c r="E48" s="19" t="s">
        <v>278</v>
      </c>
      <c r="F48" s="15">
        <v>45881</v>
      </c>
      <c r="G48" t="s">
        <v>38</v>
      </c>
      <c r="H48" s="4" t="s">
        <v>171</v>
      </c>
      <c r="I48" t="s">
        <v>39</v>
      </c>
      <c r="J48" t="s">
        <v>40</v>
      </c>
      <c r="K48" s="20">
        <v>400</v>
      </c>
      <c r="L48" t="s">
        <v>279</v>
      </c>
      <c r="M48" t="s">
        <v>135</v>
      </c>
      <c r="N48" t="s">
        <v>136</v>
      </c>
      <c r="O48" t="s">
        <v>44</v>
      </c>
    </row>
    <row r="49" spans="1:16">
      <c r="A49" s="12">
        <v>118</v>
      </c>
      <c r="B49" s="17" t="s">
        <v>12</v>
      </c>
      <c r="C49" s="17" t="s">
        <v>280</v>
      </c>
      <c r="D49" s="17" t="s">
        <v>281</v>
      </c>
      <c r="E49" s="19" t="s">
        <v>282</v>
      </c>
      <c r="F49" s="15">
        <v>45902</v>
      </c>
      <c r="G49" t="s">
        <v>38</v>
      </c>
      <c r="H49" s="4" t="s">
        <v>38</v>
      </c>
      <c r="I49" t="s">
        <v>39</v>
      </c>
      <c r="J49" t="s">
        <v>49</v>
      </c>
      <c r="K49" s="20">
        <v>700</v>
      </c>
      <c r="L49" t="s">
        <v>283</v>
      </c>
      <c r="M49" t="s">
        <v>284</v>
      </c>
      <c r="N49" t="s">
        <v>285</v>
      </c>
      <c r="O49" t="s">
        <v>44</v>
      </c>
    </row>
    <row r="50" spans="1:16">
      <c r="A50" s="12">
        <v>119</v>
      </c>
      <c r="B50" s="17" t="s">
        <v>1</v>
      </c>
      <c r="C50" s="17" t="s">
        <v>18</v>
      </c>
      <c r="D50" s="17" t="s">
        <v>1181</v>
      </c>
      <c r="E50" s="19"/>
      <c r="F50" s="15">
        <v>45761</v>
      </c>
      <c r="H50" s="4"/>
      <c r="K50" s="20"/>
    </row>
    <row r="51" spans="1:16">
      <c r="A51" s="12">
        <v>120</v>
      </c>
      <c r="B51" s="17" t="s">
        <v>1</v>
      </c>
      <c r="C51" s="17" t="s">
        <v>19</v>
      </c>
      <c r="D51" s="17" t="s">
        <v>1181</v>
      </c>
      <c r="E51" s="19"/>
      <c r="F51" s="15">
        <v>45634</v>
      </c>
      <c r="H51" s="4"/>
      <c r="K51" s="20"/>
    </row>
    <row r="52" spans="1:16">
      <c r="A52" s="12">
        <v>121</v>
      </c>
      <c r="B52" s="17" t="s">
        <v>12</v>
      </c>
      <c r="C52" s="17" t="s">
        <v>286</v>
      </c>
      <c r="D52" s="17" t="s">
        <v>287</v>
      </c>
      <c r="E52" s="19" t="s">
        <v>288</v>
      </c>
      <c r="F52" s="15">
        <v>45921</v>
      </c>
      <c r="G52" t="s">
        <v>38</v>
      </c>
      <c r="H52" s="4" t="s">
        <v>171</v>
      </c>
      <c r="I52" t="s">
        <v>39</v>
      </c>
      <c r="J52" t="s">
        <v>40</v>
      </c>
      <c r="K52" s="20">
        <v>350</v>
      </c>
      <c r="L52" t="s">
        <v>279</v>
      </c>
      <c r="M52" t="s">
        <v>289</v>
      </c>
      <c r="N52" t="s">
        <v>107</v>
      </c>
      <c r="O52" t="s">
        <v>44</v>
      </c>
    </row>
    <row r="53" spans="1:16">
      <c r="A53" s="12">
        <v>122</v>
      </c>
      <c r="B53" s="17" t="s">
        <v>9</v>
      </c>
      <c r="C53" s="1" t="s">
        <v>290</v>
      </c>
      <c r="D53" s="2" t="s">
        <v>291</v>
      </c>
      <c r="E53" s="36">
        <v>950405051</v>
      </c>
      <c r="F53" s="15">
        <v>45819</v>
      </c>
      <c r="G53" t="s">
        <v>38</v>
      </c>
      <c r="H53" s="4" t="s">
        <v>38</v>
      </c>
      <c r="I53" t="s">
        <v>39</v>
      </c>
      <c r="J53" t="s">
        <v>40</v>
      </c>
      <c r="K53" s="20"/>
      <c r="M53" t="s">
        <v>292</v>
      </c>
      <c r="N53" s="55" t="s">
        <v>182</v>
      </c>
      <c r="O53" t="s">
        <v>44</v>
      </c>
    </row>
    <row r="54" spans="1:16">
      <c r="A54" s="12">
        <v>123</v>
      </c>
      <c r="B54" s="17" t="s">
        <v>9</v>
      </c>
      <c r="C54" s="1" t="s">
        <v>147</v>
      </c>
      <c r="D54" s="2" t="s">
        <v>293</v>
      </c>
      <c r="E54" s="36">
        <v>10306587</v>
      </c>
      <c r="F54" s="15">
        <v>45921</v>
      </c>
      <c r="G54" t="s">
        <v>38</v>
      </c>
      <c r="H54" s="4" t="s">
        <v>38</v>
      </c>
      <c r="I54" t="s">
        <v>39</v>
      </c>
      <c r="J54" t="s">
        <v>49</v>
      </c>
      <c r="K54" s="20">
        <v>378</v>
      </c>
      <c r="L54" t="s">
        <v>294</v>
      </c>
      <c r="M54" t="s">
        <v>149</v>
      </c>
      <c r="N54" s="55" t="s">
        <v>150</v>
      </c>
      <c r="O54" t="s">
        <v>44</v>
      </c>
    </row>
    <row r="55" spans="1:16">
      <c r="A55" s="12">
        <v>124</v>
      </c>
      <c r="B55" s="17" t="s">
        <v>9</v>
      </c>
      <c r="C55" s="1" t="s">
        <v>295</v>
      </c>
      <c r="D55" s="2" t="s">
        <v>296</v>
      </c>
      <c r="E55" s="36">
        <v>21106398</v>
      </c>
      <c r="F55" s="15">
        <v>45939</v>
      </c>
      <c r="G55" t="s">
        <v>38</v>
      </c>
      <c r="H55" s="4" t="s">
        <v>38</v>
      </c>
      <c r="I55" t="s">
        <v>56</v>
      </c>
      <c r="J55" t="s">
        <v>49</v>
      </c>
      <c r="K55" s="20">
        <v>500</v>
      </c>
      <c r="M55" t="s">
        <v>297</v>
      </c>
      <c r="N55" s="56" t="s">
        <v>298</v>
      </c>
      <c r="O55" t="s">
        <v>44</v>
      </c>
    </row>
    <row r="56" spans="1:16">
      <c r="A56" s="12">
        <v>126</v>
      </c>
      <c r="B56" s="17" t="s">
        <v>9</v>
      </c>
      <c r="C56" s="37" t="s">
        <v>299</v>
      </c>
      <c r="D56" s="58" t="s">
        <v>300</v>
      </c>
      <c r="E56" s="36">
        <v>890300763</v>
      </c>
      <c r="F56" s="15" t="s">
        <v>301</v>
      </c>
      <c r="G56" t="s">
        <v>38</v>
      </c>
      <c r="H56" s="4" t="s">
        <v>38</v>
      </c>
      <c r="I56" t="s">
        <v>39</v>
      </c>
      <c r="J56" t="s">
        <v>49</v>
      </c>
      <c r="K56" s="20">
        <v>850</v>
      </c>
      <c r="L56" t="s">
        <v>302</v>
      </c>
      <c r="M56" t="s">
        <v>256</v>
      </c>
      <c r="N56" t="s">
        <v>257</v>
      </c>
      <c r="O56" t="s">
        <v>44</v>
      </c>
    </row>
    <row r="57" spans="1:16">
      <c r="A57" s="12">
        <v>127</v>
      </c>
      <c r="B57" s="17" t="s">
        <v>9</v>
      </c>
      <c r="C57" t="s">
        <v>303</v>
      </c>
      <c r="D57" s="59" t="s">
        <v>304</v>
      </c>
      <c r="E57" s="36">
        <v>810712660</v>
      </c>
      <c r="F57" s="15">
        <v>45931</v>
      </c>
      <c r="G57" t="s">
        <v>38</v>
      </c>
      <c r="H57" s="4" t="s">
        <v>38</v>
      </c>
      <c r="I57" t="s">
        <v>56</v>
      </c>
      <c r="J57" t="s">
        <v>40</v>
      </c>
      <c r="K57" s="20">
        <v>400</v>
      </c>
      <c r="L57" t="s">
        <v>305</v>
      </c>
      <c r="M57" t="s">
        <v>306</v>
      </c>
      <c r="N57" t="s">
        <v>307</v>
      </c>
      <c r="O57" t="s">
        <v>44</v>
      </c>
    </row>
    <row r="58" spans="1:16">
      <c r="A58" s="12">
        <v>128</v>
      </c>
      <c r="B58" s="17" t="s">
        <v>9</v>
      </c>
      <c r="C58" s="60" t="s">
        <v>308</v>
      </c>
      <c r="D58" s="36" t="s">
        <v>309</v>
      </c>
      <c r="E58" s="19" t="s">
        <v>310</v>
      </c>
      <c r="F58" s="15">
        <v>45942</v>
      </c>
      <c r="G58" t="s">
        <v>311</v>
      </c>
      <c r="H58" s="4" t="s">
        <v>311</v>
      </c>
      <c r="I58" t="s">
        <v>39</v>
      </c>
      <c r="J58" t="s">
        <v>49</v>
      </c>
      <c r="K58" s="20">
        <v>378</v>
      </c>
      <c r="L58" t="s">
        <v>294</v>
      </c>
      <c r="M58" t="s">
        <v>149</v>
      </c>
      <c r="N58" s="55" t="s">
        <v>150</v>
      </c>
      <c r="O58" t="s">
        <v>44</v>
      </c>
    </row>
    <row r="59" spans="1:16">
      <c r="A59" s="12">
        <v>131</v>
      </c>
      <c r="B59" s="17" t="s">
        <v>312</v>
      </c>
      <c r="C59" s="1"/>
      <c r="D59" s="2"/>
      <c r="E59" s="19" t="s">
        <v>313</v>
      </c>
      <c r="F59" s="15" t="s">
        <v>301</v>
      </c>
      <c r="H59" s="4"/>
      <c r="I59" t="s">
        <v>39</v>
      </c>
      <c r="J59" t="s">
        <v>49</v>
      </c>
      <c r="K59" s="20"/>
      <c r="L59" t="s">
        <v>314</v>
      </c>
      <c r="M59" t="s">
        <v>124</v>
      </c>
      <c r="N59" t="s">
        <v>125</v>
      </c>
    </row>
    <row r="60" spans="1:16">
      <c r="A60" s="12">
        <v>133</v>
      </c>
      <c r="B60" s="17" t="s">
        <v>10</v>
      </c>
      <c r="C60" s="1" t="s">
        <v>315</v>
      </c>
      <c r="D60" s="66" t="s">
        <v>316</v>
      </c>
      <c r="E60" s="19" t="s">
        <v>317</v>
      </c>
      <c r="F60" s="15">
        <v>45769</v>
      </c>
      <c r="G60" t="s">
        <v>38</v>
      </c>
      <c r="H60" s="4" t="s">
        <v>38</v>
      </c>
      <c r="I60" t="s">
        <v>39</v>
      </c>
      <c r="J60" t="s">
        <v>40</v>
      </c>
      <c r="K60" s="20">
        <v>356</v>
      </c>
      <c r="L60" t="s">
        <v>318</v>
      </c>
      <c r="M60" t="s">
        <v>319</v>
      </c>
      <c r="N60" s="40" t="s">
        <v>320</v>
      </c>
      <c r="O60" t="s">
        <v>44</v>
      </c>
      <c r="P60" t="s">
        <v>223</v>
      </c>
    </row>
    <row r="61" spans="1:16">
      <c r="A61" s="12">
        <v>134</v>
      </c>
      <c r="B61" s="17" t="s">
        <v>9</v>
      </c>
      <c r="C61" s="67" t="s">
        <v>321</v>
      </c>
      <c r="D61" s="2" t="s">
        <v>322</v>
      </c>
      <c r="E61" s="19" t="s">
        <v>323</v>
      </c>
      <c r="F61" s="15" t="s">
        <v>301</v>
      </c>
      <c r="G61" t="s">
        <v>38</v>
      </c>
      <c r="H61" s="4" t="s">
        <v>38</v>
      </c>
      <c r="I61" t="s">
        <v>39</v>
      </c>
      <c r="J61" t="s">
        <v>40</v>
      </c>
      <c r="K61" s="20">
        <v>475</v>
      </c>
      <c r="L61" t="s">
        <v>314</v>
      </c>
      <c r="M61" t="s">
        <v>124</v>
      </c>
      <c r="N61" t="s">
        <v>125</v>
      </c>
      <c r="O61" t="s">
        <v>44</v>
      </c>
    </row>
    <row r="62" spans="1:16">
      <c r="A62" s="68">
        <v>135</v>
      </c>
      <c r="B62" s="75"/>
      <c r="C62" s="76"/>
      <c r="D62" s="70"/>
      <c r="E62" s="71"/>
      <c r="F62" s="72" t="s">
        <v>301</v>
      </c>
      <c r="G62" s="69"/>
      <c r="H62" s="73"/>
      <c r="I62" s="69"/>
      <c r="J62" s="69"/>
      <c r="K62" s="74"/>
      <c r="L62" s="69"/>
      <c r="M62" s="69"/>
    </row>
    <row r="63" spans="1:16">
      <c r="A63" s="68">
        <v>136</v>
      </c>
      <c r="B63" s="75"/>
      <c r="C63" s="77"/>
      <c r="D63" s="70"/>
      <c r="E63" s="71"/>
      <c r="F63" s="72" t="s">
        <v>301</v>
      </c>
      <c r="G63" s="69"/>
      <c r="H63" s="73"/>
      <c r="I63" s="69"/>
      <c r="J63" s="69"/>
      <c r="K63" s="74"/>
      <c r="L63" s="69"/>
      <c r="M63" s="69"/>
    </row>
    <row r="64" spans="1:16">
      <c r="A64" s="12">
        <v>137</v>
      </c>
      <c r="B64" s="17" t="s">
        <v>10</v>
      </c>
      <c r="C64" s="14" t="s">
        <v>324</v>
      </c>
      <c r="D64" s="14" t="s">
        <v>325</v>
      </c>
      <c r="E64" s="19" t="s">
        <v>326</v>
      </c>
      <c r="F64" s="15">
        <v>45776</v>
      </c>
      <c r="G64" t="s">
        <v>38</v>
      </c>
      <c r="H64" s="4"/>
      <c r="J64" t="s">
        <v>40</v>
      </c>
      <c r="K64" s="20">
        <v>350</v>
      </c>
      <c r="L64" t="s">
        <v>327</v>
      </c>
      <c r="M64" t="s">
        <v>197</v>
      </c>
      <c r="N64" t="s">
        <v>328</v>
      </c>
      <c r="O64" t="s">
        <v>44</v>
      </c>
      <c r="P64" t="s">
        <v>223</v>
      </c>
    </row>
    <row r="65" spans="1:16">
      <c r="A65" s="12">
        <v>138</v>
      </c>
      <c r="B65" s="17" t="s">
        <v>10</v>
      </c>
      <c r="C65" s="22" t="s">
        <v>329</v>
      </c>
      <c r="D65" s="22" t="s">
        <v>330</v>
      </c>
      <c r="E65" s="55">
        <v>941005623</v>
      </c>
      <c r="F65" s="15">
        <v>45938</v>
      </c>
      <c r="G65" t="s">
        <v>38</v>
      </c>
      <c r="H65" s="4" t="s">
        <v>38</v>
      </c>
      <c r="I65" t="s">
        <v>39</v>
      </c>
      <c r="J65" t="s">
        <v>49</v>
      </c>
      <c r="K65" s="20">
        <v>1400</v>
      </c>
      <c r="M65" t="s">
        <v>331</v>
      </c>
      <c r="N65" t="s">
        <v>332</v>
      </c>
      <c r="O65" t="s">
        <v>44</v>
      </c>
      <c r="P65" t="s">
        <v>203</v>
      </c>
    </row>
    <row r="66" spans="1:16">
      <c r="A66" s="12">
        <v>139</v>
      </c>
      <c r="B66" s="17" t="s">
        <v>10</v>
      </c>
      <c r="C66" s="1" t="s">
        <v>333</v>
      </c>
      <c r="D66" s="40" t="s">
        <v>334</v>
      </c>
      <c r="E66" s="55">
        <v>921100329</v>
      </c>
      <c r="F66" s="15">
        <v>45782</v>
      </c>
      <c r="H66" s="4"/>
      <c r="J66" t="s">
        <v>40</v>
      </c>
      <c r="K66" s="20">
        <v>350</v>
      </c>
      <c r="L66" t="s">
        <v>68</v>
      </c>
      <c r="M66" t="s">
        <v>51</v>
      </c>
      <c r="N66" t="s">
        <v>335</v>
      </c>
      <c r="O66" t="s">
        <v>44</v>
      </c>
      <c r="P66" t="s">
        <v>223</v>
      </c>
    </row>
    <row r="67" spans="1:16">
      <c r="A67" s="12">
        <v>140</v>
      </c>
      <c r="B67" s="17" t="s">
        <v>6</v>
      </c>
      <c r="C67" s="2" t="s">
        <v>336</v>
      </c>
      <c r="D67" s="2" t="s">
        <v>337</v>
      </c>
      <c r="E67" s="19" t="s">
        <v>338</v>
      </c>
      <c r="F67" s="15">
        <v>45779</v>
      </c>
      <c r="G67" t="s">
        <v>38</v>
      </c>
      <c r="H67" s="4"/>
      <c r="J67" t="s">
        <v>40</v>
      </c>
      <c r="K67" s="20">
        <v>650</v>
      </c>
      <c r="L67" t="s">
        <v>339</v>
      </c>
      <c r="M67" t="s">
        <v>51</v>
      </c>
      <c r="N67" t="s">
        <v>335</v>
      </c>
      <c r="O67" t="s">
        <v>44</v>
      </c>
      <c r="P67" t="s">
        <v>193</v>
      </c>
    </row>
    <row r="68" spans="1:16">
      <c r="A68" s="12">
        <v>141</v>
      </c>
      <c r="B68" s="17" t="s">
        <v>10</v>
      </c>
      <c r="C68" s="1" t="s">
        <v>340</v>
      </c>
      <c r="D68" s="2" t="s">
        <v>341</v>
      </c>
      <c r="E68" s="19" t="s">
        <v>342</v>
      </c>
      <c r="F68" s="15">
        <v>45785</v>
      </c>
      <c r="G68" t="s">
        <v>38</v>
      </c>
      <c r="H68" s="4" t="s">
        <v>38</v>
      </c>
      <c r="I68" t="s">
        <v>39</v>
      </c>
      <c r="J68" t="s">
        <v>40</v>
      </c>
      <c r="K68" s="20">
        <v>350</v>
      </c>
      <c r="L68" t="s">
        <v>343</v>
      </c>
      <c r="M68" t="s">
        <v>344</v>
      </c>
      <c r="N68" t="s">
        <v>345</v>
      </c>
      <c r="O68" t="s">
        <v>44</v>
      </c>
      <c r="P68" t="s">
        <v>223</v>
      </c>
    </row>
    <row r="69" spans="1:16">
      <c r="A69" s="12">
        <v>142</v>
      </c>
      <c r="B69" s="17" t="s">
        <v>10</v>
      </c>
      <c r="C69" s="1" t="s">
        <v>346</v>
      </c>
      <c r="D69" s="22" t="s">
        <v>347</v>
      </c>
      <c r="E69" s="19" t="s">
        <v>348</v>
      </c>
      <c r="F69" s="15">
        <v>45786</v>
      </c>
      <c r="H69" s="4"/>
      <c r="J69" t="s">
        <v>40</v>
      </c>
      <c r="K69" s="20">
        <v>435</v>
      </c>
      <c r="L69" t="s">
        <v>349</v>
      </c>
      <c r="M69" t="s">
        <v>197</v>
      </c>
      <c r="N69" t="s">
        <v>328</v>
      </c>
      <c r="O69" t="s">
        <v>44</v>
      </c>
      <c r="P69" t="s">
        <v>350</v>
      </c>
    </row>
    <row r="70" spans="1:16">
      <c r="A70" s="12">
        <v>143</v>
      </c>
      <c r="B70" s="17" t="s">
        <v>10</v>
      </c>
      <c r="C70" s="39" t="s">
        <v>351</v>
      </c>
      <c r="D70" s="96" t="s">
        <v>352</v>
      </c>
      <c r="E70" s="19" t="s">
        <v>353</v>
      </c>
      <c r="F70" s="15">
        <v>45782</v>
      </c>
      <c r="G70" t="s">
        <v>38</v>
      </c>
      <c r="H70" s="4" t="s">
        <v>38</v>
      </c>
      <c r="I70" t="s">
        <v>39</v>
      </c>
      <c r="J70" t="s">
        <v>49</v>
      </c>
      <c r="K70" s="20">
        <v>500</v>
      </c>
      <c r="L70" t="s">
        <v>354</v>
      </c>
      <c r="M70" t="s">
        <v>344</v>
      </c>
      <c r="N70" t="s">
        <v>345</v>
      </c>
      <c r="O70" t="s">
        <v>44</v>
      </c>
      <c r="P70" t="s">
        <v>223</v>
      </c>
    </row>
    <row r="71" spans="1:16">
      <c r="A71" s="12">
        <v>144</v>
      </c>
      <c r="B71" s="17" t="s">
        <v>10</v>
      </c>
      <c r="C71" s="22" t="s">
        <v>355</v>
      </c>
      <c r="D71" s="40" t="s">
        <v>356</v>
      </c>
      <c r="E71" s="19" t="s">
        <v>357</v>
      </c>
      <c r="F71" s="15">
        <v>45972</v>
      </c>
      <c r="G71" t="s">
        <v>38</v>
      </c>
      <c r="H71" s="4"/>
      <c r="I71" t="s">
        <v>56</v>
      </c>
      <c r="J71" t="s">
        <v>49</v>
      </c>
      <c r="K71" s="20">
        <v>680</v>
      </c>
      <c r="L71" t="s">
        <v>358</v>
      </c>
      <c r="M71" t="s">
        <v>359</v>
      </c>
      <c r="O71" t="s">
        <v>44</v>
      </c>
      <c r="P71" t="s">
        <v>350</v>
      </c>
    </row>
    <row r="72" spans="1:16" ht="26.25">
      <c r="A72" s="12">
        <v>145</v>
      </c>
      <c r="B72" s="17" t="s">
        <v>10</v>
      </c>
      <c r="C72" s="48" t="s">
        <v>360</v>
      </c>
      <c r="D72" s="40" t="s">
        <v>361</v>
      </c>
      <c r="E72" s="19" t="s">
        <v>362</v>
      </c>
      <c r="F72" s="15">
        <v>45974</v>
      </c>
      <c r="H72" s="4"/>
      <c r="I72" t="s">
        <v>56</v>
      </c>
      <c r="J72" t="s">
        <v>49</v>
      </c>
      <c r="K72" s="20">
        <v>600</v>
      </c>
      <c r="L72" t="s">
        <v>363</v>
      </c>
      <c r="M72" t="s">
        <v>51</v>
      </c>
      <c r="N72" t="s">
        <v>364</v>
      </c>
      <c r="O72" t="s">
        <v>44</v>
      </c>
      <c r="P72" t="s">
        <v>350</v>
      </c>
    </row>
    <row r="73" spans="1:16">
      <c r="A73" s="12">
        <v>146</v>
      </c>
      <c r="B73" s="17" t="s">
        <v>10</v>
      </c>
      <c r="C73" s="2" t="s">
        <v>365</v>
      </c>
      <c r="D73" s="23" t="s">
        <v>366</v>
      </c>
      <c r="E73" s="19" t="s">
        <v>367</v>
      </c>
      <c r="F73" s="15">
        <v>45979</v>
      </c>
      <c r="H73" s="4"/>
      <c r="I73" t="s">
        <v>39</v>
      </c>
      <c r="J73" t="s">
        <v>40</v>
      </c>
      <c r="K73" s="20">
        <v>350</v>
      </c>
      <c r="L73" t="s">
        <v>368</v>
      </c>
      <c r="M73" t="s">
        <v>369</v>
      </c>
      <c r="N73" t="s">
        <v>370</v>
      </c>
      <c r="O73" t="s">
        <v>44</v>
      </c>
      <c r="P73" t="s">
        <v>350</v>
      </c>
    </row>
    <row r="74" spans="1:16">
      <c r="A74" s="12">
        <v>147</v>
      </c>
      <c r="B74" s="17" t="s">
        <v>10</v>
      </c>
      <c r="C74" s="60" t="s">
        <v>371</v>
      </c>
      <c r="D74" s="40" t="s">
        <v>372</v>
      </c>
      <c r="E74" s="19" t="s">
        <v>373</v>
      </c>
      <c r="F74" s="15">
        <v>45979</v>
      </c>
      <c r="H74" s="4"/>
      <c r="I74" t="s">
        <v>39</v>
      </c>
      <c r="J74" t="s">
        <v>40</v>
      </c>
      <c r="K74" s="20">
        <v>350</v>
      </c>
      <c r="L74" t="s">
        <v>374</v>
      </c>
      <c r="M74" t="s">
        <v>369</v>
      </c>
      <c r="N74" t="s">
        <v>370</v>
      </c>
      <c r="O74" t="s">
        <v>44</v>
      </c>
      <c r="P74" t="s">
        <v>350</v>
      </c>
    </row>
    <row r="75" spans="1:16">
      <c r="A75" s="12">
        <v>148</v>
      </c>
      <c r="B75" s="17" t="s">
        <v>10</v>
      </c>
      <c r="C75" s="2" t="s">
        <v>375</v>
      </c>
      <c r="D75" s="40" t="s">
        <v>376</v>
      </c>
      <c r="E75" s="19" t="s">
        <v>377</v>
      </c>
      <c r="F75" s="15">
        <v>45796</v>
      </c>
      <c r="H75" s="4"/>
      <c r="I75" t="s">
        <v>39</v>
      </c>
      <c r="J75" t="s">
        <v>49</v>
      </c>
      <c r="K75" s="20">
        <v>600</v>
      </c>
      <c r="L75" t="s">
        <v>378</v>
      </c>
      <c r="M75" t="s">
        <v>379</v>
      </c>
      <c r="N75" t="s">
        <v>263</v>
      </c>
      <c r="O75" t="s">
        <v>44</v>
      </c>
      <c r="P75" t="s">
        <v>223</v>
      </c>
    </row>
    <row r="76" spans="1:16">
      <c r="A76" s="12">
        <v>149</v>
      </c>
      <c r="B76" s="17" t="s">
        <v>10</v>
      </c>
      <c r="C76" s="48" t="s">
        <v>380</v>
      </c>
      <c r="D76" s="23" t="s">
        <v>381</v>
      </c>
      <c r="E76" s="19" t="s">
        <v>382</v>
      </c>
      <c r="F76" s="15">
        <v>45797</v>
      </c>
      <c r="H76" s="4"/>
      <c r="I76" t="s">
        <v>39</v>
      </c>
      <c r="J76" t="s">
        <v>40</v>
      </c>
      <c r="K76" s="20">
        <v>400</v>
      </c>
      <c r="L76" t="s">
        <v>378</v>
      </c>
      <c r="M76" t="s">
        <v>383</v>
      </c>
      <c r="N76" t="s">
        <v>384</v>
      </c>
      <c r="O76" t="s">
        <v>44</v>
      </c>
      <c r="P76" t="s">
        <v>223</v>
      </c>
    </row>
    <row r="77" spans="1:16">
      <c r="A77" s="12">
        <v>150</v>
      </c>
      <c r="B77" s="17" t="s">
        <v>10</v>
      </c>
      <c r="C77" s="1" t="s">
        <v>385</v>
      </c>
      <c r="D77" s="23" t="s">
        <v>386</v>
      </c>
      <c r="E77" s="19" t="s">
        <v>387</v>
      </c>
      <c r="F77" s="15">
        <v>45804</v>
      </c>
      <c r="H77" s="4"/>
      <c r="I77" t="s">
        <v>39</v>
      </c>
      <c r="J77" t="s">
        <v>49</v>
      </c>
      <c r="K77" s="20">
        <v>600</v>
      </c>
      <c r="L77" t="s">
        <v>388</v>
      </c>
      <c r="M77" t="s">
        <v>51</v>
      </c>
      <c r="N77" t="s">
        <v>364</v>
      </c>
      <c r="O77" t="s">
        <v>44</v>
      </c>
      <c r="P77" t="s">
        <v>350</v>
      </c>
    </row>
    <row r="78" spans="1:16">
      <c r="A78" s="12">
        <v>151</v>
      </c>
      <c r="B78" s="24" t="s">
        <v>10</v>
      </c>
      <c r="C78" s="95" t="s">
        <v>389</v>
      </c>
      <c r="D78" s="40" t="s">
        <v>390</v>
      </c>
      <c r="E78" s="19" t="s">
        <v>391</v>
      </c>
      <c r="F78" s="15">
        <v>45983</v>
      </c>
      <c r="H78" s="4"/>
      <c r="I78" t="s">
        <v>56</v>
      </c>
      <c r="J78" t="s">
        <v>40</v>
      </c>
      <c r="K78" s="20">
        <v>350</v>
      </c>
      <c r="L78" t="s">
        <v>392</v>
      </c>
      <c r="M78" t="s">
        <v>274</v>
      </c>
      <c r="N78" t="s">
        <v>275</v>
      </c>
      <c r="O78" t="s">
        <v>44</v>
      </c>
      <c r="P78" t="s">
        <v>193</v>
      </c>
    </row>
    <row r="79" spans="1:16">
      <c r="A79" s="12">
        <v>152</v>
      </c>
      <c r="B79" s="17" t="s">
        <v>10</v>
      </c>
      <c r="C79" s="1" t="s">
        <v>393</v>
      </c>
      <c r="D79" s="1" t="s">
        <v>394</v>
      </c>
      <c r="E79" s="19" t="s">
        <v>395</v>
      </c>
      <c r="F79" s="15">
        <v>45983</v>
      </c>
      <c r="H79" s="4"/>
      <c r="I79" t="s">
        <v>39</v>
      </c>
      <c r="J79" t="s">
        <v>40</v>
      </c>
      <c r="K79" s="20">
        <v>350</v>
      </c>
      <c r="L79" t="s">
        <v>392</v>
      </c>
      <c r="M79" s="40" t="s">
        <v>396</v>
      </c>
      <c r="N79" t="s">
        <v>397</v>
      </c>
      <c r="O79" t="s">
        <v>44</v>
      </c>
      <c r="P79" t="s">
        <v>193</v>
      </c>
    </row>
    <row r="80" spans="1:16">
      <c r="A80" s="12">
        <v>153</v>
      </c>
      <c r="B80" s="17" t="s">
        <v>10</v>
      </c>
      <c r="C80" s="14" t="s">
        <v>398</v>
      </c>
      <c r="D80" s="55" t="s">
        <v>399</v>
      </c>
      <c r="E80" s="19" t="s">
        <v>400</v>
      </c>
      <c r="F80" s="15">
        <v>45999</v>
      </c>
      <c r="H80" s="4"/>
      <c r="I80" t="s">
        <v>39</v>
      </c>
      <c r="J80" t="s">
        <v>49</v>
      </c>
      <c r="K80" s="20">
        <v>600</v>
      </c>
      <c r="L80" t="s">
        <v>401</v>
      </c>
      <c r="M80" s="40" t="s">
        <v>93</v>
      </c>
      <c r="N80" t="s">
        <v>94</v>
      </c>
      <c r="O80" t="s">
        <v>44</v>
      </c>
      <c r="P80" t="s">
        <v>350</v>
      </c>
    </row>
    <row r="81" spans="1:16">
      <c r="A81" s="12">
        <v>154</v>
      </c>
      <c r="B81" s="17" t="s">
        <v>10</v>
      </c>
      <c r="C81" s="55"/>
      <c r="D81" s="55" t="s">
        <v>402</v>
      </c>
      <c r="E81" s="19" t="s">
        <v>403</v>
      </c>
      <c r="F81" s="15">
        <v>45984</v>
      </c>
      <c r="H81" s="4"/>
      <c r="I81" t="s">
        <v>39</v>
      </c>
      <c r="J81" t="s">
        <v>40</v>
      </c>
      <c r="K81" s="20">
        <v>350</v>
      </c>
      <c r="L81" t="s">
        <v>392</v>
      </c>
      <c r="M81" t="s">
        <v>274</v>
      </c>
      <c r="N81" t="s">
        <v>275</v>
      </c>
      <c r="O81" t="s">
        <v>44</v>
      </c>
      <c r="P81" t="s">
        <v>193</v>
      </c>
    </row>
    <row r="82" spans="1:16">
      <c r="A82" s="12">
        <v>155</v>
      </c>
      <c r="B82" s="17"/>
      <c r="C82" s="1"/>
      <c r="D82" s="2" t="s">
        <v>404</v>
      </c>
      <c r="E82" s="19" t="s">
        <v>405</v>
      </c>
      <c r="F82" s="15">
        <v>45987</v>
      </c>
      <c r="H82" s="4"/>
      <c r="I82" t="s">
        <v>39</v>
      </c>
      <c r="J82" t="s">
        <v>40</v>
      </c>
      <c r="K82" s="20">
        <v>350</v>
      </c>
      <c r="L82" t="s">
        <v>406</v>
      </c>
      <c r="M82" t="s">
        <v>181</v>
      </c>
      <c r="N82" t="s">
        <v>407</v>
      </c>
      <c r="O82" t="s">
        <v>44</v>
      </c>
      <c r="P82" t="s">
        <v>223</v>
      </c>
    </row>
    <row r="83" spans="1:16">
      <c r="A83" s="12">
        <v>156</v>
      </c>
      <c r="B83" s="17" t="s">
        <v>10</v>
      </c>
      <c r="C83" s="1" t="s">
        <v>35</v>
      </c>
      <c r="D83" s="14" t="s">
        <v>408</v>
      </c>
      <c r="E83" s="19" t="s">
        <v>37</v>
      </c>
      <c r="F83" s="15">
        <v>46005</v>
      </c>
      <c r="H83" s="4"/>
      <c r="I83" t="s">
        <v>39</v>
      </c>
      <c r="J83" t="s">
        <v>40</v>
      </c>
      <c r="K83" s="20">
        <v>450</v>
      </c>
      <c r="L83" t="s">
        <v>409</v>
      </c>
      <c r="M83" t="s">
        <v>410</v>
      </c>
      <c r="N83" t="s">
        <v>43</v>
      </c>
      <c r="O83" t="s">
        <v>44</v>
      </c>
      <c r="P83" t="s">
        <v>193</v>
      </c>
    </row>
    <row r="84" spans="1:16">
      <c r="A84" s="12">
        <v>157</v>
      </c>
      <c r="B84" s="17" t="s">
        <v>10</v>
      </c>
      <c r="C84" s="60" t="s">
        <v>46</v>
      </c>
      <c r="D84" s="55" t="s">
        <v>47</v>
      </c>
      <c r="E84" s="19" t="s">
        <v>48</v>
      </c>
      <c r="F84" s="15">
        <v>46005</v>
      </c>
      <c r="H84" s="4"/>
      <c r="I84" t="s">
        <v>39</v>
      </c>
      <c r="J84" t="s">
        <v>49</v>
      </c>
      <c r="K84" s="20">
        <v>500</v>
      </c>
      <c r="L84" t="s">
        <v>217</v>
      </c>
      <c r="M84" t="s">
        <v>51</v>
      </c>
      <c r="N84" t="s">
        <v>52</v>
      </c>
      <c r="O84" t="s">
        <v>44</v>
      </c>
      <c r="P84" t="s">
        <v>350</v>
      </c>
    </row>
    <row r="85" spans="1:16">
      <c r="A85" s="12">
        <v>158</v>
      </c>
      <c r="B85" s="17" t="s">
        <v>10</v>
      </c>
      <c r="C85" s="1" t="s">
        <v>53</v>
      </c>
      <c r="D85" s="2" t="s">
        <v>54</v>
      </c>
      <c r="E85" s="19" t="s">
        <v>55</v>
      </c>
      <c r="F85" s="15">
        <v>46006</v>
      </c>
      <c r="H85" s="4"/>
      <c r="I85" t="s">
        <v>56</v>
      </c>
      <c r="J85" t="s">
        <v>49</v>
      </c>
      <c r="K85" s="20">
        <v>500</v>
      </c>
      <c r="L85" t="s">
        <v>57</v>
      </c>
      <c r="M85" t="s">
        <v>58</v>
      </c>
      <c r="N85" t="s">
        <v>411</v>
      </c>
      <c r="O85" t="s">
        <v>44</v>
      </c>
      <c r="P85" t="s">
        <v>193</v>
      </c>
    </row>
    <row r="86" spans="1:16">
      <c r="A86" s="12">
        <v>159</v>
      </c>
      <c r="B86" s="17" t="s">
        <v>10</v>
      </c>
      <c r="C86" s="97" t="s">
        <v>412</v>
      </c>
      <c r="D86" s="2" t="s">
        <v>413</v>
      </c>
      <c r="E86" s="19" t="s">
        <v>414</v>
      </c>
      <c r="F86" s="15">
        <v>45823</v>
      </c>
      <c r="H86" s="4"/>
      <c r="I86" t="s">
        <v>39</v>
      </c>
      <c r="J86" t="s">
        <v>49</v>
      </c>
      <c r="K86" s="20">
        <v>500</v>
      </c>
      <c r="L86" t="s">
        <v>415</v>
      </c>
      <c r="M86" s="98" t="s">
        <v>416</v>
      </c>
      <c r="N86" t="s">
        <v>417</v>
      </c>
      <c r="O86" t="s">
        <v>44</v>
      </c>
      <c r="P86" t="s">
        <v>223</v>
      </c>
    </row>
    <row r="87" spans="1:16">
      <c r="A87" s="12">
        <v>160</v>
      </c>
      <c r="B87" s="17" t="s">
        <v>10</v>
      </c>
      <c r="C87" s="2" t="s">
        <v>418</v>
      </c>
      <c r="D87" s="2" t="s">
        <v>419</v>
      </c>
      <c r="E87" s="19" t="s">
        <v>420</v>
      </c>
      <c r="F87" s="15">
        <v>45860</v>
      </c>
      <c r="H87" s="4"/>
      <c r="I87" t="s">
        <v>39</v>
      </c>
      <c r="J87" t="s">
        <v>40</v>
      </c>
      <c r="K87" s="20">
        <v>350</v>
      </c>
      <c r="L87" t="s">
        <v>230</v>
      </c>
      <c r="M87" t="s">
        <v>231</v>
      </c>
      <c r="N87" t="s">
        <v>232</v>
      </c>
      <c r="O87" t="s">
        <v>44</v>
      </c>
      <c r="P87" t="s">
        <v>193</v>
      </c>
    </row>
    <row r="88" spans="1:16">
      <c r="A88" s="12">
        <v>161</v>
      </c>
      <c r="B88" s="17" t="s">
        <v>10</v>
      </c>
      <c r="C88" s="2" t="s">
        <v>418</v>
      </c>
      <c r="D88" s="2" t="s">
        <v>419</v>
      </c>
      <c r="E88" s="19" t="s">
        <v>420</v>
      </c>
      <c r="F88" s="15">
        <v>45860</v>
      </c>
      <c r="H88" s="4"/>
      <c r="I88" t="s">
        <v>39</v>
      </c>
      <c r="J88" t="s">
        <v>40</v>
      </c>
      <c r="K88" s="20">
        <v>350</v>
      </c>
      <c r="L88" t="s">
        <v>230</v>
      </c>
      <c r="M88" t="s">
        <v>231</v>
      </c>
      <c r="N88" t="s">
        <v>232</v>
      </c>
      <c r="O88" t="s">
        <v>44</v>
      </c>
      <c r="P88" t="s">
        <v>223</v>
      </c>
    </row>
    <row r="89" spans="1:16" ht="26.25">
      <c r="A89" s="12">
        <v>162</v>
      </c>
      <c r="B89" s="17" t="s">
        <v>10</v>
      </c>
      <c r="C89" s="48" t="s">
        <v>421</v>
      </c>
      <c r="D89" s="17" t="s">
        <v>1181</v>
      </c>
      <c r="E89" s="19"/>
      <c r="F89" s="15" t="s">
        <v>301</v>
      </c>
      <c r="H89" s="4"/>
      <c r="K89" s="20"/>
      <c r="P89" t="s">
        <v>193</v>
      </c>
    </row>
    <row r="90" spans="1:16">
      <c r="A90" s="12">
        <v>163</v>
      </c>
      <c r="B90" s="17"/>
      <c r="C90" s="2" t="s">
        <v>422</v>
      </c>
      <c r="D90" s="2" t="s">
        <v>423</v>
      </c>
      <c r="E90" s="19" t="s">
        <v>424</v>
      </c>
      <c r="F90" s="15">
        <v>45902</v>
      </c>
      <c r="H90" s="4"/>
      <c r="I90" t="s">
        <v>39</v>
      </c>
      <c r="J90" t="s">
        <v>49</v>
      </c>
      <c r="K90" s="20">
        <v>510</v>
      </c>
      <c r="L90" t="s">
        <v>425</v>
      </c>
      <c r="M90" t="s">
        <v>426</v>
      </c>
      <c r="N90" t="s">
        <v>427</v>
      </c>
      <c r="O90" t="s">
        <v>44</v>
      </c>
      <c r="P90" t="s">
        <v>428</v>
      </c>
    </row>
    <row r="91" spans="1:16">
      <c r="A91" s="12">
        <v>164</v>
      </c>
      <c r="B91" s="17"/>
      <c r="C91" s="1" t="s">
        <v>429</v>
      </c>
      <c r="D91" s="2" t="s">
        <v>430</v>
      </c>
      <c r="E91" s="19" t="s">
        <v>431</v>
      </c>
      <c r="F91" s="15">
        <v>45902</v>
      </c>
      <c r="H91" s="4"/>
      <c r="I91" t="s">
        <v>39</v>
      </c>
      <c r="J91" t="s">
        <v>49</v>
      </c>
      <c r="K91" s="20">
        <v>500</v>
      </c>
      <c r="L91" t="s">
        <v>432</v>
      </c>
      <c r="M91" s="40" t="s">
        <v>433</v>
      </c>
      <c r="N91" t="s">
        <v>434</v>
      </c>
      <c r="O91" t="s">
        <v>44</v>
      </c>
      <c r="P91" s="33" t="s">
        <v>428</v>
      </c>
    </row>
    <row r="92" spans="1:16">
      <c r="A92" s="12">
        <v>165</v>
      </c>
      <c r="B92" s="17" t="s">
        <v>10</v>
      </c>
      <c r="C92" s="117" t="s">
        <v>120</v>
      </c>
      <c r="D92" s="2" t="s">
        <v>435</v>
      </c>
      <c r="E92" s="19" t="s">
        <v>122</v>
      </c>
      <c r="F92" s="15">
        <v>45911</v>
      </c>
      <c r="H92" s="4"/>
      <c r="I92" t="s">
        <v>39</v>
      </c>
      <c r="J92" t="s">
        <v>49</v>
      </c>
      <c r="K92" s="20">
        <v>500</v>
      </c>
      <c r="M92" t="s">
        <v>124</v>
      </c>
      <c r="N92" t="s">
        <v>125</v>
      </c>
      <c r="O92" t="s">
        <v>44</v>
      </c>
      <c r="P92" t="s">
        <v>223</v>
      </c>
    </row>
    <row r="93" spans="1:16">
      <c r="A93" s="12">
        <v>166</v>
      </c>
      <c r="B93" s="17" t="s">
        <v>10</v>
      </c>
      <c r="C93" s="117" t="s">
        <v>436</v>
      </c>
      <c r="D93" s="2" t="s">
        <v>437</v>
      </c>
      <c r="E93" s="19" t="s">
        <v>128</v>
      </c>
      <c r="F93" s="15" t="s">
        <v>438</v>
      </c>
      <c r="H93" s="4"/>
      <c r="I93" t="s">
        <v>39</v>
      </c>
      <c r="J93" t="s">
        <v>49</v>
      </c>
      <c r="K93" s="20">
        <v>500</v>
      </c>
      <c r="M93" t="s">
        <v>118</v>
      </c>
      <c r="N93" t="s">
        <v>119</v>
      </c>
      <c r="O93" t="s">
        <v>44</v>
      </c>
      <c r="P93" t="s">
        <v>223</v>
      </c>
    </row>
    <row r="94" spans="1:16">
      <c r="A94" s="12">
        <v>167</v>
      </c>
      <c r="B94" s="17" t="s">
        <v>10</v>
      </c>
      <c r="C94" s="2" t="s">
        <v>137</v>
      </c>
      <c r="D94" s="2" t="s">
        <v>138</v>
      </c>
      <c r="E94" s="19" t="s">
        <v>439</v>
      </c>
      <c r="F94" s="15" t="s">
        <v>440</v>
      </c>
      <c r="H94" s="4"/>
      <c r="I94" t="s">
        <v>39</v>
      </c>
      <c r="J94" t="s">
        <v>49</v>
      </c>
      <c r="K94" s="20">
        <v>500</v>
      </c>
      <c r="M94" t="s">
        <v>441</v>
      </c>
      <c r="N94" t="s">
        <v>141</v>
      </c>
      <c r="O94" t="s">
        <v>44</v>
      </c>
      <c r="P94" t="s">
        <v>223</v>
      </c>
    </row>
    <row r="95" spans="1:16">
      <c r="A95" s="12">
        <v>168</v>
      </c>
      <c r="B95" s="17"/>
      <c r="C95" s="1"/>
      <c r="D95" s="55"/>
      <c r="E95" s="19"/>
      <c r="F95" s="15" t="s">
        <v>301</v>
      </c>
      <c r="H95" s="4"/>
      <c r="K95" s="20"/>
    </row>
    <row r="96" spans="1:16">
      <c r="A96" s="12">
        <v>169</v>
      </c>
      <c r="B96" s="17"/>
      <c r="C96" s="1"/>
      <c r="D96" s="2"/>
      <c r="E96" s="19"/>
      <c r="F96" s="15" t="s">
        <v>301</v>
      </c>
      <c r="H96" s="4"/>
      <c r="K96" s="20"/>
    </row>
    <row r="97" spans="1:11">
      <c r="A97" s="12">
        <v>170</v>
      </c>
      <c r="B97" s="17"/>
      <c r="C97" s="1"/>
      <c r="D97" s="2"/>
      <c r="E97" s="19"/>
      <c r="F97" s="15" t="s">
        <v>301</v>
      </c>
      <c r="H97" s="4"/>
      <c r="K97" s="20"/>
    </row>
    <row r="98" spans="1:11">
      <c r="A98" s="12">
        <v>171</v>
      </c>
      <c r="B98" s="17"/>
      <c r="C98" s="1"/>
      <c r="D98" s="2"/>
      <c r="E98" s="19"/>
      <c r="F98" s="15" t="s">
        <v>301</v>
      </c>
      <c r="H98" s="4"/>
      <c r="K98" s="20"/>
    </row>
    <row r="99" spans="1:11">
      <c r="A99" s="12">
        <v>172</v>
      </c>
      <c r="B99" s="17"/>
      <c r="C99" s="1"/>
      <c r="D99" s="2"/>
      <c r="E99" s="19"/>
      <c r="F99" s="15" t="s">
        <v>301</v>
      </c>
      <c r="H99" s="4"/>
      <c r="K99" s="20"/>
    </row>
    <row r="100" spans="1:11">
      <c r="A100" s="12">
        <v>173</v>
      </c>
      <c r="B100" s="17"/>
      <c r="C100" s="1"/>
      <c r="D100" s="2"/>
      <c r="E100" s="19"/>
      <c r="F100" s="15" t="s">
        <v>301</v>
      </c>
      <c r="H100" s="4"/>
      <c r="K100" s="20"/>
    </row>
    <row r="101" spans="1:11">
      <c r="A101" s="12">
        <v>174</v>
      </c>
      <c r="B101" s="17"/>
      <c r="C101" s="1"/>
      <c r="D101" s="14"/>
      <c r="E101" s="19"/>
      <c r="F101" s="15" t="s">
        <v>301</v>
      </c>
      <c r="H101" s="4"/>
      <c r="K101" s="20"/>
    </row>
    <row r="102" spans="1:11">
      <c r="A102" s="12">
        <v>175</v>
      </c>
      <c r="B102" s="17"/>
      <c r="C102" s="1"/>
      <c r="D102" s="2"/>
      <c r="E102" s="19"/>
      <c r="F102" s="15" t="s">
        <v>301</v>
      </c>
      <c r="H102" s="4"/>
      <c r="K102" s="20"/>
    </row>
    <row r="103" spans="1:11">
      <c r="A103" s="12">
        <v>176</v>
      </c>
      <c r="B103" s="17"/>
      <c r="C103" s="1"/>
      <c r="D103" s="2"/>
      <c r="E103" s="19"/>
      <c r="F103" s="15" t="s">
        <v>301</v>
      </c>
      <c r="H103" s="4"/>
      <c r="K103" s="20"/>
    </row>
    <row r="104" spans="1:11">
      <c r="A104" s="12">
        <v>177</v>
      </c>
      <c r="B104" s="17"/>
      <c r="C104" s="1"/>
      <c r="D104" s="2"/>
      <c r="E104" s="19"/>
      <c r="F104" s="15" t="s">
        <v>301</v>
      </c>
      <c r="H104" s="4"/>
      <c r="K104" s="20"/>
    </row>
    <row r="105" spans="1:11">
      <c r="A105" s="12">
        <v>178</v>
      </c>
      <c r="B105" s="17"/>
      <c r="C105" s="1"/>
      <c r="D105" s="2"/>
      <c r="E105" s="19"/>
      <c r="F105" s="15" t="s">
        <v>301</v>
      </c>
      <c r="H105" s="4"/>
      <c r="K105" s="20"/>
    </row>
    <row r="106" spans="1:11">
      <c r="A106" s="12">
        <v>179</v>
      </c>
      <c r="B106" s="17"/>
      <c r="C106" s="1"/>
      <c r="D106" s="2"/>
      <c r="E106" s="19"/>
      <c r="F106" s="15" t="s">
        <v>301</v>
      </c>
      <c r="H106" s="4"/>
      <c r="K106" s="20"/>
    </row>
    <row r="107" spans="1:11">
      <c r="A107" s="12">
        <v>180</v>
      </c>
      <c r="B107" s="17"/>
      <c r="C107" s="1"/>
      <c r="D107" s="2"/>
      <c r="E107" s="19"/>
      <c r="F107" s="15" t="s">
        <v>301</v>
      </c>
      <c r="H107" s="4"/>
      <c r="K107" s="20"/>
    </row>
    <row r="108" spans="1:11">
      <c r="A108" s="12">
        <v>181</v>
      </c>
      <c r="B108" s="17"/>
      <c r="C108" s="1"/>
      <c r="D108" s="2"/>
      <c r="E108" s="19"/>
      <c r="F108" s="15" t="s">
        <v>301</v>
      </c>
      <c r="H108" s="4"/>
      <c r="K108" s="20"/>
    </row>
    <row r="109" spans="1:11">
      <c r="A109" s="12">
        <v>182</v>
      </c>
      <c r="B109" s="17"/>
      <c r="C109" s="1"/>
      <c r="D109" s="2"/>
      <c r="E109" s="19"/>
      <c r="F109" s="15" t="s">
        <v>301</v>
      </c>
      <c r="H109" s="4"/>
      <c r="K109" s="20"/>
    </row>
    <row r="110" spans="1:11">
      <c r="A110" s="12">
        <v>183</v>
      </c>
      <c r="B110" s="17"/>
      <c r="C110" s="1"/>
      <c r="D110" s="2"/>
      <c r="E110" s="19"/>
      <c r="F110" s="15" t="s">
        <v>301</v>
      </c>
      <c r="H110" s="4"/>
      <c r="K110" s="20"/>
    </row>
    <row r="111" spans="1:11">
      <c r="A111" s="12">
        <v>184</v>
      </c>
      <c r="B111" s="17"/>
      <c r="C111" s="1"/>
      <c r="D111" s="2"/>
      <c r="E111" s="19"/>
      <c r="F111" s="15" t="s">
        <v>301</v>
      </c>
      <c r="H111" s="4"/>
      <c r="K111" s="20"/>
    </row>
    <row r="112" spans="1:11">
      <c r="A112" s="12">
        <v>185</v>
      </c>
      <c r="B112" s="17"/>
      <c r="C112" s="1"/>
      <c r="D112" s="2"/>
      <c r="E112" s="19"/>
      <c r="F112" s="15" t="s">
        <v>301</v>
      </c>
      <c r="H112" s="4"/>
      <c r="K112" s="20"/>
    </row>
    <row r="113" spans="1:11">
      <c r="A113" s="12">
        <v>186</v>
      </c>
      <c r="B113" s="17"/>
      <c r="C113" s="1"/>
      <c r="D113" s="2"/>
      <c r="E113" s="19"/>
      <c r="F113" s="15" t="s">
        <v>301</v>
      </c>
      <c r="H113" s="4"/>
      <c r="K113" s="20"/>
    </row>
    <row r="114" spans="1:11">
      <c r="A114" s="12">
        <v>187</v>
      </c>
      <c r="B114" s="17"/>
      <c r="C114" s="1"/>
      <c r="D114" s="2"/>
      <c r="E114" s="19"/>
      <c r="F114" s="15" t="s">
        <v>301</v>
      </c>
      <c r="H114" s="4"/>
      <c r="K114" s="20"/>
    </row>
    <row r="115" spans="1:11">
      <c r="A115" s="12">
        <v>188</v>
      </c>
      <c r="B115" s="17"/>
      <c r="C115" s="1"/>
      <c r="D115" s="2"/>
      <c r="E115" s="19"/>
      <c r="F115" s="15" t="s">
        <v>301</v>
      </c>
      <c r="H115" s="4"/>
      <c r="K115" s="20"/>
    </row>
    <row r="116" spans="1:11">
      <c r="A116" s="12">
        <v>189</v>
      </c>
      <c r="B116" s="17"/>
      <c r="C116" s="1"/>
      <c r="D116" s="2"/>
      <c r="E116" s="19"/>
      <c r="F116" s="15" t="s">
        <v>301</v>
      </c>
      <c r="H116" s="4"/>
      <c r="K116" s="20"/>
    </row>
    <row r="117" spans="1:11">
      <c r="A117" s="12">
        <v>190</v>
      </c>
      <c r="B117" s="17"/>
      <c r="C117" s="1"/>
      <c r="D117" s="2"/>
      <c r="E117" s="19"/>
      <c r="F117" s="15" t="s">
        <v>301</v>
      </c>
      <c r="H117" s="4"/>
      <c r="K117" s="20"/>
    </row>
    <row r="118" spans="1:11">
      <c r="A118" s="12">
        <v>191</v>
      </c>
      <c r="B118" s="17"/>
      <c r="C118" s="1"/>
      <c r="D118" s="2"/>
      <c r="E118" s="19"/>
      <c r="F118" s="15" t="s">
        <v>301</v>
      </c>
      <c r="H118" s="4"/>
      <c r="K118" s="20"/>
    </row>
    <row r="119" spans="1:11">
      <c r="A119" s="12">
        <v>192</v>
      </c>
      <c r="B119" s="17"/>
      <c r="C119" s="1"/>
      <c r="D119" s="2"/>
      <c r="E119" s="19"/>
      <c r="F119" s="15" t="s">
        <v>301</v>
      </c>
      <c r="H119" s="4"/>
      <c r="K119" s="20"/>
    </row>
    <row r="120" spans="1:11">
      <c r="A120" s="12">
        <v>193</v>
      </c>
      <c r="B120" s="17"/>
      <c r="C120" s="1"/>
      <c r="D120" s="2"/>
      <c r="E120" s="19"/>
      <c r="F120" s="15" t="s">
        <v>301</v>
      </c>
      <c r="H120" s="4"/>
      <c r="K120" s="20"/>
    </row>
    <row r="121" spans="1:11">
      <c r="A121" s="12">
        <v>194</v>
      </c>
      <c r="B121" s="17"/>
      <c r="C121" s="1"/>
      <c r="D121" s="2"/>
      <c r="E121" s="19"/>
      <c r="F121" s="15" t="s">
        <v>301</v>
      </c>
      <c r="H121" s="4"/>
      <c r="K121" s="20"/>
    </row>
    <row r="122" spans="1:11">
      <c r="A122" s="12">
        <v>195</v>
      </c>
      <c r="B122" s="17"/>
      <c r="C122" s="1"/>
      <c r="E122" s="5"/>
      <c r="F122" s="15" t="s">
        <v>301</v>
      </c>
      <c r="H122" s="4"/>
      <c r="K122" s="6"/>
    </row>
  </sheetData>
  <phoneticPr fontId="7" type="noConversion"/>
  <conditionalFormatting sqref="C2:C94">
    <cfRule type="duplicateValues" dxfId="0" priority="1"/>
  </conditionalFormatting>
  <hyperlinks>
    <hyperlink ref="D28" r:id="rId1" xr:uid="{3F6D75EC-77F1-46B4-B959-486A470142A4}"/>
  </hyperlinks>
  <pageMargins left="0.7" right="0.7" top="0.75" bottom="0.75" header="0.3" footer="0.3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445F02E-C6A6-43F3-9741-EEF8519C312B}">
          <x14:formula1>
            <xm:f>Dropdown!$F$2:$F$6</xm:f>
          </x14:formula1>
          <xm:sqref>O2:O122</xm:sqref>
        </x14:dataValidation>
        <x14:dataValidation type="list" allowBlank="1" showInputMessage="1" showErrorMessage="1" xr:uid="{F6FDDD05-0A27-46C8-AD38-D13853F9B2B9}">
          <x14:formula1>
            <xm:f>Dropdown!$D$2:$D$4</xm:f>
          </x14:formula1>
          <xm:sqref>J2:J122</xm:sqref>
        </x14:dataValidation>
        <x14:dataValidation type="list" allowBlank="1" showInputMessage="1" showErrorMessage="1" xr:uid="{08C27BC1-0F35-4BC2-9A4A-E7C1B3A17131}">
          <x14:formula1>
            <xm:f>Dropdown!$C$2:$C$3</xm:f>
          </x14:formula1>
          <xm:sqref>I2:I122</xm:sqref>
        </x14:dataValidation>
        <x14:dataValidation type="list" allowBlank="1" showInputMessage="1" showErrorMessage="1" xr:uid="{E6B5E431-920E-4940-8CF0-7919F43E9EF2}">
          <x14:formula1>
            <xm:f>Dropdown!$B$2:$B$3</xm:f>
          </x14:formula1>
          <xm:sqref>G2:H122</xm:sqref>
        </x14:dataValidation>
        <x14:dataValidation type="list" allowBlank="1" showInputMessage="1" showErrorMessage="1" xr:uid="{591EF828-B966-4B97-B643-F9A8FA72C55B}">
          <x14:formula1>
            <xm:f>Dropdown!$A$2:$A$9</xm:f>
          </x14:formula1>
          <xm:sqref>B2:B122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58ABB-D0F8-4612-9694-7E34425F7A6D}">
  <dimension ref="A1:P362"/>
  <sheetViews>
    <sheetView topLeftCell="A136" workbookViewId="0">
      <selection activeCell="A122" sqref="A122:P122"/>
    </sheetView>
  </sheetViews>
  <sheetFormatPr defaultRowHeight="15"/>
  <cols>
    <col min="1" max="1" width="8.140625" style="3" customWidth="1"/>
    <col min="2" max="2" width="15.85546875" customWidth="1"/>
    <col min="3" max="3" width="15.5703125" customWidth="1"/>
    <col min="4" max="4" width="48" customWidth="1"/>
    <col min="5" max="5" width="12.28515625" customWidth="1"/>
    <col min="6" max="6" width="13.140625" style="3" customWidth="1"/>
    <col min="7" max="10" width="10.7109375" customWidth="1"/>
    <col min="11" max="11" width="10.28515625" customWidth="1"/>
    <col min="12" max="12" width="16.28515625" customWidth="1"/>
    <col min="13" max="13" width="45" customWidth="1"/>
    <col min="14" max="14" width="18.42578125" customWidth="1"/>
    <col min="15" max="15" width="28.28515625" bestFit="1" customWidth="1"/>
    <col min="16" max="16" width="22.7109375" customWidth="1"/>
  </cols>
  <sheetData>
    <row r="1" spans="1:16" ht="45" customHeight="1">
      <c r="A1" s="7" t="s">
        <v>20</v>
      </c>
      <c r="B1" s="7" t="s">
        <v>0</v>
      </c>
      <c r="C1" s="7" t="s">
        <v>21</v>
      </c>
      <c r="D1" s="13" t="s">
        <v>22</v>
      </c>
      <c r="E1" s="46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46" t="s">
        <v>30</v>
      </c>
      <c r="M1" s="7" t="s">
        <v>31</v>
      </c>
      <c r="N1" s="46" t="s">
        <v>32</v>
      </c>
      <c r="O1" s="7" t="s">
        <v>33</v>
      </c>
      <c r="P1" s="7" t="s">
        <v>34</v>
      </c>
    </row>
    <row r="2" spans="1:16">
      <c r="A2" s="12">
        <f>ROW() - ROW(Table1[[#Headers],[SL No.]])</f>
        <v>1</v>
      </c>
      <c r="B2" s="17" t="s">
        <v>10</v>
      </c>
      <c r="C2" s="1" t="s">
        <v>442</v>
      </c>
      <c r="D2" s="24" t="s">
        <v>443</v>
      </c>
      <c r="E2" s="19" t="s">
        <v>444</v>
      </c>
      <c r="F2" s="15">
        <v>46028</v>
      </c>
      <c r="G2" s="4" t="s">
        <v>38</v>
      </c>
      <c r="H2" s="4"/>
      <c r="I2" s="4"/>
      <c r="J2" s="4"/>
      <c r="K2" s="20">
        <v>350</v>
      </c>
      <c r="L2" t="s">
        <v>445</v>
      </c>
      <c r="M2" t="s">
        <v>446</v>
      </c>
      <c r="N2" t="s">
        <v>447</v>
      </c>
      <c r="O2" t="s">
        <v>44</v>
      </c>
      <c r="P2" t="s">
        <v>45</v>
      </c>
    </row>
    <row r="3" spans="1:16">
      <c r="A3" s="12">
        <f>ROW() - ROW(Table1[[#Headers],[SL No.]])</f>
        <v>2</v>
      </c>
      <c r="B3" s="17" t="s">
        <v>9</v>
      </c>
      <c r="C3" s="22" t="s">
        <v>448</v>
      </c>
      <c r="D3" s="23" t="s">
        <v>449</v>
      </c>
      <c r="E3" s="19" t="s">
        <v>450</v>
      </c>
      <c r="F3" s="15">
        <v>46035</v>
      </c>
      <c r="G3" t="s">
        <v>38</v>
      </c>
      <c r="H3" s="4"/>
      <c r="I3" t="s">
        <v>56</v>
      </c>
      <c r="J3" t="s">
        <v>49</v>
      </c>
      <c r="K3" s="20">
        <v>500</v>
      </c>
      <c r="L3" t="s">
        <v>451</v>
      </c>
      <c r="M3" t="s">
        <v>452</v>
      </c>
      <c r="N3" t="s">
        <v>141</v>
      </c>
      <c r="O3" t="s">
        <v>44</v>
      </c>
    </row>
    <row r="4" spans="1:16">
      <c r="A4" s="12">
        <f>ROW() - ROW(Table1[[#Headers],[SL No.]])</f>
        <v>3</v>
      </c>
      <c r="B4" s="17" t="s">
        <v>1</v>
      </c>
      <c r="C4" s="1" t="s">
        <v>453</v>
      </c>
      <c r="D4" s="21" t="s">
        <v>454</v>
      </c>
      <c r="E4" s="19" t="s">
        <v>455</v>
      </c>
      <c r="F4" s="15">
        <v>46033</v>
      </c>
      <c r="G4" t="s">
        <v>38</v>
      </c>
      <c r="H4" s="4"/>
      <c r="I4" t="s">
        <v>39</v>
      </c>
      <c r="J4" t="s">
        <v>49</v>
      </c>
      <c r="K4" s="20">
        <v>508</v>
      </c>
      <c r="L4" t="s">
        <v>50</v>
      </c>
      <c r="M4" t="s">
        <v>456</v>
      </c>
      <c r="N4" t="s">
        <v>150</v>
      </c>
      <c r="O4" t="s">
        <v>44</v>
      </c>
    </row>
    <row r="5" spans="1:16">
      <c r="A5" s="12">
        <f>ROW() - ROW(Table1[[#Headers],[SL No.]])</f>
        <v>4</v>
      </c>
      <c r="B5" s="17" t="s">
        <v>12</v>
      </c>
      <c r="C5" s="1" t="s">
        <v>457</v>
      </c>
      <c r="D5" s="21" t="s">
        <v>458</v>
      </c>
      <c r="E5" s="19" t="s">
        <v>459</v>
      </c>
      <c r="F5" s="15">
        <v>46033</v>
      </c>
      <c r="G5" t="s">
        <v>38</v>
      </c>
      <c r="H5" s="4"/>
      <c r="I5" t="s">
        <v>56</v>
      </c>
      <c r="J5" t="s">
        <v>98</v>
      </c>
      <c r="K5" s="20">
        <v>482</v>
      </c>
      <c r="L5" t="s">
        <v>50</v>
      </c>
      <c r="M5" t="s">
        <v>456</v>
      </c>
      <c r="N5" t="s">
        <v>460</v>
      </c>
      <c r="O5" t="s">
        <v>44</v>
      </c>
    </row>
    <row r="6" spans="1:16">
      <c r="A6" s="12">
        <f>ROW() - ROW(Table1[[#Headers],[SL No.]])</f>
        <v>5</v>
      </c>
      <c r="B6" s="17" t="s">
        <v>9</v>
      </c>
      <c r="C6" s="1" t="s">
        <v>461</v>
      </c>
      <c r="D6" s="21" t="s">
        <v>462</v>
      </c>
      <c r="E6" s="19" t="s">
        <v>463</v>
      </c>
      <c r="F6" s="15">
        <v>46041</v>
      </c>
      <c r="G6" t="s">
        <v>38</v>
      </c>
      <c r="H6" s="4" t="s">
        <v>38</v>
      </c>
      <c r="I6" t="s">
        <v>39</v>
      </c>
      <c r="J6" t="s">
        <v>40</v>
      </c>
      <c r="K6" s="20">
        <v>350</v>
      </c>
      <c r="L6" t="s">
        <v>464</v>
      </c>
      <c r="M6" t="s">
        <v>465</v>
      </c>
      <c r="N6" t="s">
        <v>466</v>
      </c>
      <c r="O6" t="s">
        <v>44</v>
      </c>
      <c r="P6" t="s">
        <v>45</v>
      </c>
    </row>
    <row r="7" spans="1:16">
      <c r="A7" s="12">
        <f>ROW() - ROW(Table1[[#Headers],[SL No.]])</f>
        <v>6</v>
      </c>
      <c r="B7" s="17" t="s">
        <v>9</v>
      </c>
      <c r="C7" s="1" t="s">
        <v>467</v>
      </c>
      <c r="D7" s="21" t="s">
        <v>468</v>
      </c>
      <c r="E7" s="19" t="s">
        <v>469</v>
      </c>
      <c r="F7" s="15">
        <v>46033</v>
      </c>
      <c r="G7" t="s">
        <v>38</v>
      </c>
      <c r="H7" s="4"/>
      <c r="I7" t="s">
        <v>39</v>
      </c>
      <c r="J7" t="s">
        <v>40</v>
      </c>
      <c r="K7" s="20">
        <v>350</v>
      </c>
      <c r="L7" t="s">
        <v>470</v>
      </c>
      <c r="M7" t="s">
        <v>471</v>
      </c>
      <c r="N7" t="s">
        <v>472</v>
      </c>
      <c r="O7" t="s">
        <v>44</v>
      </c>
    </row>
    <row r="8" spans="1:16">
      <c r="A8" s="12">
        <f>ROW() - ROW(Table1[[#Headers],[SL No.]])</f>
        <v>7</v>
      </c>
      <c r="B8" s="17" t="s">
        <v>9</v>
      </c>
      <c r="C8" s="1" t="s">
        <v>473</v>
      </c>
      <c r="D8" s="21" t="s">
        <v>474</v>
      </c>
      <c r="E8" s="19" t="s">
        <v>475</v>
      </c>
      <c r="F8" s="15">
        <v>46033</v>
      </c>
      <c r="H8" s="4"/>
      <c r="I8" t="s">
        <v>39</v>
      </c>
      <c r="J8" t="s">
        <v>40</v>
      </c>
      <c r="K8" s="20">
        <v>350</v>
      </c>
      <c r="L8" t="s">
        <v>68</v>
      </c>
      <c r="M8" t="s">
        <v>471</v>
      </c>
      <c r="N8" t="s">
        <v>472</v>
      </c>
      <c r="O8" t="s">
        <v>44</v>
      </c>
    </row>
    <row r="9" spans="1:16">
      <c r="A9" s="12">
        <f>ROW() - ROW(Table1[[#Headers],[SL No.]])</f>
        <v>8</v>
      </c>
      <c r="B9" s="17" t="s">
        <v>12</v>
      </c>
      <c r="C9" s="1" t="s">
        <v>476</v>
      </c>
      <c r="D9" s="21" t="s">
        <v>477</v>
      </c>
      <c r="E9" s="19" t="s">
        <v>478</v>
      </c>
      <c r="F9" s="15">
        <v>46033</v>
      </c>
      <c r="G9" t="s">
        <v>38</v>
      </c>
      <c r="H9" s="4"/>
      <c r="I9" t="s">
        <v>39</v>
      </c>
      <c r="J9" t="s">
        <v>49</v>
      </c>
      <c r="K9" s="20">
        <v>508</v>
      </c>
      <c r="L9" t="s">
        <v>50</v>
      </c>
      <c r="M9" t="s">
        <v>456</v>
      </c>
      <c r="N9" t="s">
        <v>150</v>
      </c>
      <c r="O9" t="s">
        <v>44</v>
      </c>
      <c r="P9" t="s">
        <v>45</v>
      </c>
    </row>
    <row r="10" spans="1:16">
      <c r="A10" s="12">
        <f>ROW() - ROW(Table1[[#Headers],[SL No.]])</f>
        <v>9</v>
      </c>
      <c r="B10" s="17" t="s">
        <v>9</v>
      </c>
      <c r="C10" s="1" t="s">
        <v>479</v>
      </c>
      <c r="D10" s="21" t="s">
        <v>480</v>
      </c>
      <c r="E10" s="19" t="s">
        <v>481</v>
      </c>
      <c r="F10" s="15">
        <v>46033</v>
      </c>
      <c r="G10" t="s">
        <v>38</v>
      </c>
      <c r="H10" s="4"/>
      <c r="I10" t="s">
        <v>56</v>
      </c>
      <c r="J10" t="s">
        <v>49</v>
      </c>
      <c r="K10" s="20">
        <v>508</v>
      </c>
      <c r="L10" t="s">
        <v>50</v>
      </c>
      <c r="M10" t="s">
        <v>456</v>
      </c>
      <c r="N10" t="s">
        <v>150</v>
      </c>
    </row>
    <row r="11" spans="1:16">
      <c r="A11" s="12">
        <f>ROW() - ROW(Table1[[#Headers],[SL No.]])</f>
        <v>10</v>
      </c>
      <c r="B11" s="17" t="s">
        <v>14</v>
      </c>
      <c r="C11" s="26" t="s">
        <v>482</v>
      </c>
      <c r="D11" t="s">
        <v>483</v>
      </c>
      <c r="E11" s="19" t="s">
        <v>484</v>
      </c>
      <c r="F11" s="15">
        <v>46033</v>
      </c>
      <c r="H11" s="4"/>
      <c r="I11" t="s">
        <v>39</v>
      </c>
      <c r="J11" t="s">
        <v>40</v>
      </c>
      <c r="K11" s="20">
        <v>482</v>
      </c>
      <c r="L11" t="s">
        <v>50</v>
      </c>
      <c r="M11" t="s">
        <v>456</v>
      </c>
      <c r="N11" t="s">
        <v>150</v>
      </c>
    </row>
    <row r="12" spans="1:16">
      <c r="A12" s="12">
        <f>ROW() - ROW(Table1[[#Headers],[SL No.]])</f>
        <v>11</v>
      </c>
      <c r="B12" s="17" t="s">
        <v>9</v>
      </c>
      <c r="C12" s="1" t="s">
        <v>485</v>
      </c>
      <c r="D12" s="21" t="s">
        <v>486</v>
      </c>
      <c r="E12" s="19" t="s">
        <v>487</v>
      </c>
      <c r="F12" s="15">
        <v>46033</v>
      </c>
      <c r="G12" t="s">
        <v>38</v>
      </c>
      <c r="H12" s="4" t="s">
        <v>38</v>
      </c>
      <c r="I12" t="s">
        <v>39</v>
      </c>
      <c r="J12" t="s">
        <v>49</v>
      </c>
      <c r="K12" s="20">
        <v>508</v>
      </c>
      <c r="L12" t="s">
        <v>50</v>
      </c>
      <c r="M12" t="s">
        <v>456</v>
      </c>
      <c r="N12" t="s">
        <v>150</v>
      </c>
      <c r="O12" t="s">
        <v>44</v>
      </c>
    </row>
    <row r="13" spans="1:16">
      <c r="A13" s="12">
        <f>ROW() - ROW(Table1[[#Headers],[SL No.]])</f>
        <v>12</v>
      </c>
      <c r="B13" s="17" t="s">
        <v>14</v>
      </c>
      <c r="C13" s="26" t="s">
        <v>488</v>
      </c>
      <c r="D13" t="s">
        <v>489</v>
      </c>
      <c r="E13" s="19" t="s">
        <v>490</v>
      </c>
      <c r="F13" s="15">
        <v>46033</v>
      </c>
      <c r="G13" t="s">
        <v>38</v>
      </c>
      <c r="H13" s="4" t="s">
        <v>38</v>
      </c>
      <c r="I13" t="s">
        <v>39</v>
      </c>
      <c r="J13" t="s">
        <v>40</v>
      </c>
      <c r="K13" s="20">
        <v>508</v>
      </c>
      <c r="L13" t="s">
        <v>50</v>
      </c>
      <c r="M13" t="s">
        <v>456</v>
      </c>
      <c r="N13" t="s">
        <v>150</v>
      </c>
      <c r="O13" t="s">
        <v>44</v>
      </c>
    </row>
    <row r="14" spans="1:16">
      <c r="A14" s="12">
        <f>ROW() - ROW(Table1[[#Headers],[SL No.]])</f>
        <v>13</v>
      </c>
      <c r="B14" s="17" t="s">
        <v>1</v>
      </c>
      <c r="C14" s="26" t="s">
        <v>491</v>
      </c>
      <c r="D14" t="s">
        <v>492</v>
      </c>
      <c r="E14" s="19" t="s">
        <v>493</v>
      </c>
      <c r="F14" s="15">
        <v>46033</v>
      </c>
      <c r="G14" t="s">
        <v>38</v>
      </c>
      <c r="H14" s="4" t="s">
        <v>38</v>
      </c>
      <c r="I14" t="s">
        <v>56</v>
      </c>
      <c r="J14" t="s">
        <v>98</v>
      </c>
      <c r="K14" s="20">
        <v>482</v>
      </c>
      <c r="L14" t="s">
        <v>50</v>
      </c>
      <c r="M14" t="s">
        <v>456</v>
      </c>
      <c r="N14" t="s">
        <v>150</v>
      </c>
      <c r="O14" t="s">
        <v>44</v>
      </c>
      <c r="P14" t="s">
        <v>45</v>
      </c>
    </row>
    <row r="15" spans="1:16">
      <c r="A15" s="12">
        <f>ROW() - ROW(Table1[[#Headers],[SL No.]])</f>
        <v>14</v>
      </c>
      <c r="B15" s="17" t="s">
        <v>10</v>
      </c>
      <c r="C15" s="30" t="s">
        <v>35</v>
      </c>
      <c r="D15" s="31" t="s">
        <v>36</v>
      </c>
      <c r="E15" s="28" t="s">
        <v>37</v>
      </c>
      <c r="F15" s="15">
        <v>46005</v>
      </c>
      <c r="G15" t="s">
        <v>38</v>
      </c>
      <c r="H15" s="4"/>
      <c r="I15" t="s">
        <v>39</v>
      </c>
      <c r="J15" t="s">
        <v>40</v>
      </c>
      <c r="K15" s="20">
        <v>450</v>
      </c>
      <c r="L15" t="s">
        <v>41</v>
      </c>
      <c r="M15" t="s">
        <v>42</v>
      </c>
      <c r="N15" t="s">
        <v>43</v>
      </c>
      <c r="O15" t="s">
        <v>44</v>
      </c>
      <c r="P15" t="s">
        <v>45</v>
      </c>
    </row>
    <row r="16" spans="1:16">
      <c r="A16" s="12">
        <f>ROW() - ROW(Table1[[#Headers],[SL No.]])</f>
        <v>15</v>
      </c>
      <c r="B16" s="17" t="s">
        <v>10</v>
      </c>
      <c r="C16" s="32" t="s">
        <v>46</v>
      </c>
      <c r="D16" s="32" t="s">
        <v>47</v>
      </c>
      <c r="E16" s="27" t="s">
        <v>48</v>
      </c>
      <c r="F16" s="15">
        <v>46005</v>
      </c>
      <c r="G16" t="s">
        <v>38</v>
      </c>
      <c r="H16" s="4"/>
      <c r="I16" t="s">
        <v>39</v>
      </c>
      <c r="J16" t="s">
        <v>49</v>
      </c>
      <c r="K16" s="20">
        <v>500</v>
      </c>
      <c r="L16" t="s">
        <v>50</v>
      </c>
      <c r="M16" t="s">
        <v>51</v>
      </c>
      <c r="N16" t="s">
        <v>52</v>
      </c>
      <c r="O16" t="s">
        <v>44</v>
      </c>
    </row>
    <row r="17" spans="1:16">
      <c r="A17" s="12">
        <f>ROW() - ROW(Table1[[#Headers],[SL No.]])</f>
        <v>16</v>
      </c>
      <c r="B17" s="17" t="s">
        <v>10</v>
      </c>
      <c r="C17" s="32" t="s">
        <v>53</v>
      </c>
      <c r="D17" s="32" t="s">
        <v>54</v>
      </c>
      <c r="E17" s="27" t="s">
        <v>55</v>
      </c>
      <c r="F17" s="15">
        <v>46006</v>
      </c>
      <c r="G17" t="s">
        <v>38</v>
      </c>
      <c r="H17" s="4"/>
      <c r="I17" t="s">
        <v>56</v>
      </c>
      <c r="J17" t="s">
        <v>49</v>
      </c>
      <c r="K17" s="20">
        <v>500</v>
      </c>
      <c r="L17" t="s">
        <v>57</v>
      </c>
      <c r="M17" t="s">
        <v>58</v>
      </c>
      <c r="N17" t="s">
        <v>59</v>
      </c>
      <c r="O17" t="s">
        <v>44</v>
      </c>
      <c r="P17" t="s">
        <v>45</v>
      </c>
    </row>
    <row r="18" spans="1:16">
      <c r="A18" s="12">
        <f>ROW() - ROW(Table1[[#Headers],[SL No.]])</f>
        <v>17</v>
      </c>
      <c r="B18" s="17" t="s">
        <v>10</v>
      </c>
      <c r="C18" s="33" t="s">
        <v>60</v>
      </c>
      <c r="D18" s="33" t="s">
        <v>61</v>
      </c>
      <c r="E18" s="28" t="s">
        <v>62</v>
      </c>
      <c r="F18" s="15">
        <v>45865</v>
      </c>
      <c r="G18" t="s">
        <v>38</v>
      </c>
      <c r="H18" s="4"/>
      <c r="I18" t="s">
        <v>56</v>
      </c>
      <c r="J18" t="s">
        <v>49</v>
      </c>
      <c r="K18" s="20">
        <v>700</v>
      </c>
      <c r="L18" t="s">
        <v>63</v>
      </c>
      <c r="M18" t="s">
        <v>64</v>
      </c>
      <c r="N18" t="s">
        <v>65</v>
      </c>
      <c r="O18" t="s">
        <v>44</v>
      </c>
      <c r="P18" t="s">
        <v>45</v>
      </c>
    </row>
    <row r="19" spans="1:16">
      <c r="A19" s="34">
        <f>ROW() - ROW(Table1[[#Headers],[SL No.]])</f>
        <v>18</v>
      </c>
      <c r="B19" s="35" t="s">
        <v>9</v>
      </c>
      <c r="C19" s="36" t="s">
        <v>66</v>
      </c>
      <c r="D19" s="37" t="s">
        <v>67</v>
      </c>
      <c r="E19" s="36">
        <v>70809119</v>
      </c>
      <c r="F19" s="15">
        <v>45956</v>
      </c>
      <c r="G19" t="s">
        <v>38</v>
      </c>
      <c r="H19" s="4"/>
      <c r="I19" t="s">
        <v>39</v>
      </c>
      <c r="J19" t="s">
        <v>40</v>
      </c>
      <c r="K19" s="20">
        <v>350</v>
      </c>
      <c r="L19" t="s">
        <v>68</v>
      </c>
      <c r="M19" s="37" t="s">
        <v>69</v>
      </c>
      <c r="N19" t="s">
        <v>70</v>
      </c>
      <c r="O19" t="s">
        <v>44</v>
      </c>
      <c r="P19" t="s">
        <v>45</v>
      </c>
    </row>
    <row r="20" spans="1:16">
      <c r="A20" s="34">
        <f>ROW() - ROW(Table1[[#Headers],[SL No.]])</f>
        <v>19</v>
      </c>
      <c r="B20" s="35" t="s">
        <v>1</v>
      </c>
      <c r="C20" t="s">
        <v>494</v>
      </c>
      <c r="D20" s="38" t="s">
        <v>495</v>
      </c>
      <c r="E20" s="28" t="s">
        <v>496</v>
      </c>
      <c r="F20" s="15">
        <v>46054</v>
      </c>
      <c r="G20" t="s">
        <v>38</v>
      </c>
      <c r="H20" s="4"/>
      <c r="I20" t="s">
        <v>39</v>
      </c>
      <c r="J20" t="s">
        <v>98</v>
      </c>
      <c r="K20" s="20">
        <v>430</v>
      </c>
      <c r="L20" t="s">
        <v>158</v>
      </c>
      <c r="M20" t="s">
        <v>497</v>
      </c>
      <c r="N20" t="s">
        <v>498</v>
      </c>
      <c r="O20" t="s">
        <v>44</v>
      </c>
    </row>
    <row r="21" spans="1:16">
      <c r="A21" s="12">
        <f>ROW() - ROW(Table1[[#Headers],[SL No.]])</f>
        <v>20</v>
      </c>
      <c r="B21" s="17" t="s">
        <v>6</v>
      </c>
      <c r="C21" s="29" t="s">
        <v>71</v>
      </c>
      <c r="D21" s="38" t="s">
        <v>72</v>
      </c>
      <c r="E21" s="19" t="s">
        <v>73</v>
      </c>
      <c r="F21" s="15">
        <v>45939</v>
      </c>
      <c r="G21" t="s">
        <v>38</v>
      </c>
      <c r="H21" s="4"/>
      <c r="I21" t="s">
        <v>56</v>
      </c>
      <c r="J21" t="s">
        <v>40</v>
      </c>
      <c r="K21" s="20">
        <v>350</v>
      </c>
      <c r="L21" t="s">
        <v>74</v>
      </c>
      <c r="M21" t="s">
        <v>75</v>
      </c>
      <c r="N21" t="s">
        <v>76</v>
      </c>
      <c r="O21" t="s">
        <v>44</v>
      </c>
    </row>
    <row r="22" spans="1:16">
      <c r="A22" s="12">
        <f>ROW() - ROW(Table1[[#Headers],[SL No.]])</f>
        <v>21</v>
      </c>
      <c r="B22" s="17" t="s">
        <v>12</v>
      </c>
      <c r="C22" s="1" t="s">
        <v>499</v>
      </c>
      <c r="D22" s="38" t="s">
        <v>500</v>
      </c>
      <c r="E22" s="19" t="s">
        <v>501</v>
      </c>
      <c r="F22" s="15">
        <v>46040</v>
      </c>
      <c r="G22" t="s">
        <v>38</v>
      </c>
      <c r="H22" s="4" t="s">
        <v>38</v>
      </c>
      <c r="I22" t="s">
        <v>39</v>
      </c>
      <c r="J22" t="s">
        <v>49</v>
      </c>
      <c r="K22" s="20">
        <v>800</v>
      </c>
      <c r="L22" t="s">
        <v>502</v>
      </c>
      <c r="M22" t="s">
        <v>503</v>
      </c>
      <c r="N22" t="s">
        <v>504</v>
      </c>
      <c r="O22" t="s">
        <v>44</v>
      </c>
    </row>
    <row r="23" spans="1:16">
      <c r="A23" s="12">
        <f>ROW() - ROW(Table1[[#Headers],[SL No.]])</f>
        <v>22</v>
      </c>
      <c r="B23" s="17" t="s">
        <v>10</v>
      </c>
      <c r="C23" s="1" t="s">
        <v>505</v>
      </c>
      <c r="D23" s="24" t="s">
        <v>506</v>
      </c>
      <c r="E23" s="19" t="s">
        <v>507</v>
      </c>
      <c r="F23" s="15">
        <v>46050</v>
      </c>
      <c r="G23" t="s">
        <v>38</v>
      </c>
      <c r="H23" s="4" t="s">
        <v>38</v>
      </c>
      <c r="I23" t="s">
        <v>39</v>
      </c>
      <c r="J23" t="s">
        <v>40</v>
      </c>
      <c r="K23" s="20">
        <v>400</v>
      </c>
      <c r="L23" t="s">
        <v>508</v>
      </c>
      <c r="M23" t="s">
        <v>509</v>
      </c>
      <c r="N23" t="s">
        <v>510</v>
      </c>
      <c r="O23" t="s">
        <v>44</v>
      </c>
      <c r="P23" t="s">
        <v>511</v>
      </c>
    </row>
    <row r="24" spans="1:16">
      <c r="A24" s="12">
        <f>ROW() - ROW(Table1[[#Headers],[SL No.]])</f>
        <v>23</v>
      </c>
      <c r="B24" s="17" t="s">
        <v>10</v>
      </c>
      <c r="C24" s="1" t="s">
        <v>512</v>
      </c>
      <c r="D24" s="24" t="s">
        <v>513</v>
      </c>
      <c r="E24" s="19" t="s">
        <v>514</v>
      </c>
      <c r="F24" s="15">
        <v>46055</v>
      </c>
      <c r="G24" t="s">
        <v>171</v>
      </c>
      <c r="H24" s="4" t="s">
        <v>171</v>
      </c>
      <c r="I24" t="s">
        <v>56</v>
      </c>
      <c r="J24" t="s">
        <v>40</v>
      </c>
      <c r="K24" s="20">
        <v>520</v>
      </c>
      <c r="L24" t="s">
        <v>50</v>
      </c>
      <c r="M24" t="s">
        <v>515</v>
      </c>
      <c r="N24" t="s">
        <v>238</v>
      </c>
      <c r="O24" t="s">
        <v>44</v>
      </c>
      <c r="P24" t="s">
        <v>45</v>
      </c>
    </row>
    <row r="25" spans="1:16">
      <c r="A25" s="12">
        <f>ROW() - ROW(Table1[[#Headers],[SL No.]])</f>
        <v>24</v>
      </c>
      <c r="B25" s="17" t="s">
        <v>10</v>
      </c>
      <c r="C25" s="1" t="s">
        <v>516</v>
      </c>
      <c r="D25" s="1" t="s">
        <v>517</v>
      </c>
      <c r="E25" s="19" t="s">
        <v>518</v>
      </c>
      <c r="F25" s="15">
        <v>46055</v>
      </c>
      <c r="G25" t="s">
        <v>38</v>
      </c>
      <c r="H25" s="4"/>
      <c r="I25" t="s">
        <v>39</v>
      </c>
      <c r="J25" t="s">
        <v>40</v>
      </c>
      <c r="K25" s="20">
        <v>350</v>
      </c>
      <c r="L25" t="s">
        <v>519</v>
      </c>
      <c r="M25" t="s">
        <v>515</v>
      </c>
      <c r="N25" s="40" t="s">
        <v>238</v>
      </c>
      <c r="O25" t="s">
        <v>44</v>
      </c>
      <c r="P25" t="s">
        <v>45</v>
      </c>
    </row>
    <row r="26" spans="1:16">
      <c r="A26" s="12">
        <f>ROW() - ROW(Table1[[#Headers],[SL No.]])</f>
        <v>25</v>
      </c>
      <c r="B26" s="17" t="s">
        <v>9</v>
      </c>
      <c r="C26" s="1" t="s">
        <v>520</v>
      </c>
      <c r="D26" s="1" t="s">
        <v>521</v>
      </c>
      <c r="E26" s="19">
        <v>880545151</v>
      </c>
      <c r="F26" s="15">
        <v>46050</v>
      </c>
      <c r="G26" t="s">
        <v>171</v>
      </c>
      <c r="H26" s="4" t="s">
        <v>171</v>
      </c>
      <c r="I26" t="s">
        <v>56</v>
      </c>
      <c r="J26" t="s">
        <v>49</v>
      </c>
      <c r="K26" s="20">
        <v>580</v>
      </c>
      <c r="L26" t="s">
        <v>522</v>
      </c>
      <c r="M26" t="s">
        <v>523</v>
      </c>
      <c r="N26" s="40" t="s">
        <v>182</v>
      </c>
      <c r="O26" t="s">
        <v>44</v>
      </c>
      <c r="P26" t="s">
        <v>45</v>
      </c>
    </row>
    <row r="27" spans="1:16">
      <c r="A27" s="12">
        <f>ROW() - ROW(Table1[[#Headers],[SL No.]])</f>
        <v>26</v>
      </c>
      <c r="B27" s="17" t="s">
        <v>9</v>
      </c>
      <c r="C27" s="1" t="s">
        <v>524</v>
      </c>
      <c r="D27" s="1" t="s">
        <v>525</v>
      </c>
      <c r="E27" s="19" t="s">
        <v>526</v>
      </c>
      <c r="F27" s="15">
        <v>46047</v>
      </c>
      <c r="H27" s="4"/>
      <c r="K27" s="20">
        <v>600</v>
      </c>
      <c r="L27" t="s">
        <v>527</v>
      </c>
      <c r="M27" t="s">
        <v>528</v>
      </c>
      <c r="N27" s="40" t="s">
        <v>529</v>
      </c>
      <c r="O27" t="s">
        <v>44</v>
      </c>
    </row>
    <row r="28" spans="1:16">
      <c r="A28" s="12">
        <f>ROW() - ROW(Table1[[#Headers],[SL No.]])</f>
        <v>27</v>
      </c>
      <c r="B28" s="17" t="s">
        <v>12</v>
      </c>
      <c r="C28" s="1" t="s">
        <v>530</v>
      </c>
      <c r="D28" s="1" t="s">
        <v>531</v>
      </c>
      <c r="E28" s="19" t="s">
        <v>532</v>
      </c>
      <c r="F28" s="15">
        <v>46033</v>
      </c>
      <c r="G28" t="s">
        <v>38</v>
      </c>
      <c r="H28" s="4"/>
      <c r="I28" t="s">
        <v>39</v>
      </c>
      <c r="J28" t="s">
        <v>49</v>
      </c>
      <c r="K28" s="20">
        <v>500</v>
      </c>
      <c r="L28" t="s">
        <v>533</v>
      </c>
      <c r="M28" t="s">
        <v>534</v>
      </c>
      <c r="N28" t="s">
        <v>535</v>
      </c>
      <c r="O28" t="s">
        <v>44</v>
      </c>
    </row>
    <row r="29" spans="1:16">
      <c r="A29" s="12">
        <f>ROW() - ROW(Table1[[#Headers],[SL No.]])</f>
        <v>28</v>
      </c>
      <c r="B29" s="17" t="s">
        <v>536</v>
      </c>
      <c r="C29" s="1" t="s">
        <v>537</v>
      </c>
      <c r="D29" s="1" t="s">
        <v>538</v>
      </c>
      <c r="E29" s="19">
        <v>891104186</v>
      </c>
      <c r="F29" s="15">
        <v>46028</v>
      </c>
      <c r="H29" s="4"/>
      <c r="J29" t="s">
        <v>49</v>
      </c>
      <c r="K29" s="20">
        <v>550</v>
      </c>
      <c r="L29" t="s">
        <v>539</v>
      </c>
      <c r="M29" t="s">
        <v>540</v>
      </c>
      <c r="N29" t="s">
        <v>541</v>
      </c>
      <c r="O29" t="s">
        <v>44</v>
      </c>
      <c r="P29" t="s">
        <v>45</v>
      </c>
    </row>
    <row r="30" spans="1:16">
      <c r="A30" s="12">
        <f>ROW() - ROW(Table1[[#Headers],[SL No.]])</f>
        <v>29</v>
      </c>
      <c r="B30" s="17" t="s">
        <v>10</v>
      </c>
      <c r="C30" s="1" t="s">
        <v>77</v>
      </c>
      <c r="D30" s="1" t="s">
        <v>78</v>
      </c>
      <c r="E30" s="19" t="s">
        <v>79</v>
      </c>
      <c r="F30" s="15">
        <v>45692</v>
      </c>
      <c r="G30" t="s">
        <v>38</v>
      </c>
      <c r="H30" s="4" t="s">
        <v>38</v>
      </c>
      <c r="I30" t="s">
        <v>39</v>
      </c>
      <c r="J30" t="s">
        <v>40</v>
      </c>
      <c r="K30" s="20">
        <v>450</v>
      </c>
      <c r="L30" t="s">
        <v>80</v>
      </c>
      <c r="M30" t="s">
        <v>81</v>
      </c>
      <c r="N30" t="s">
        <v>82</v>
      </c>
      <c r="O30" t="s">
        <v>44</v>
      </c>
      <c r="P30" t="s">
        <v>45</v>
      </c>
    </row>
    <row r="31" spans="1:16">
      <c r="A31" s="12">
        <f>ROW() - ROW(Table1[[#Headers],[SL No.]])</f>
        <v>30</v>
      </c>
      <c r="B31" s="17" t="s">
        <v>10</v>
      </c>
      <c r="C31" s="1" t="s">
        <v>83</v>
      </c>
      <c r="D31" s="22" t="s">
        <v>84</v>
      </c>
      <c r="E31" s="19" t="s">
        <v>85</v>
      </c>
      <c r="F31" s="15">
        <v>45874</v>
      </c>
      <c r="H31" s="4"/>
      <c r="I31" t="s">
        <v>56</v>
      </c>
      <c r="J31" t="s">
        <v>49</v>
      </c>
      <c r="K31" s="20">
        <v>500</v>
      </c>
      <c r="L31" t="s">
        <v>86</v>
      </c>
      <c r="M31" t="s">
        <v>87</v>
      </c>
      <c r="N31" t="s">
        <v>88</v>
      </c>
      <c r="O31" t="s">
        <v>89</v>
      </c>
      <c r="P31" t="s">
        <v>45</v>
      </c>
    </row>
    <row r="32" spans="1:16">
      <c r="A32" s="12">
        <f>ROW() - ROW(Table1[[#Headers],[SL No.]])</f>
        <v>31</v>
      </c>
      <c r="B32" s="17" t="s">
        <v>10</v>
      </c>
      <c r="C32" s="1" t="s">
        <v>542</v>
      </c>
      <c r="D32" s="41" t="s">
        <v>543</v>
      </c>
      <c r="E32" s="19" t="s">
        <v>544</v>
      </c>
      <c r="F32" s="15">
        <v>46057</v>
      </c>
      <c r="G32" t="s">
        <v>38</v>
      </c>
      <c r="H32" s="4" t="s">
        <v>38</v>
      </c>
      <c r="I32" t="s">
        <v>56</v>
      </c>
      <c r="J32" t="s">
        <v>49</v>
      </c>
      <c r="K32" s="20">
        <v>550</v>
      </c>
      <c r="L32" t="s">
        <v>545</v>
      </c>
      <c r="M32" t="s">
        <v>51</v>
      </c>
      <c r="N32" t="s">
        <v>364</v>
      </c>
      <c r="O32" s="33" t="s">
        <v>44</v>
      </c>
    </row>
    <row r="33" spans="1:16">
      <c r="A33" s="12">
        <f>ROW() - ROW(Table1[[#Headers],[SL No.]])</f>
        <v>32</v>
      </c>
      <c r="B33" s="17" t="s">
        <v>10</v>
      </c>
      <c r="C33" s="24" t="s">
        <v>90</v>
      </c>
      <c r="D33" s="24" t="s">
        <v>91</v>
      </c>
      <c r="E33" s="19" t="s">
        <v>92</v>
      </c>
      <c r="F33" s="15">
        <v>45697</v>
      </c>
      <c r="G33" t="s">
        <v>38</v>
      </c>
      <c r="H33" s="4"/>
      <c r="I33" s="33" t="s">
        <v>39</v>
      </c>
      <c r="J33" t="s">
        <v>40</v>
      </c>
      <c r="K33" s="20">
        <v>350</v>
      </c>
      <c r="L33" t="s">
        <v>68</v>
      </c>
      <c r="M33" t="s">
        <v>93</v>
      </c>
      <c r="N33" t="s">
        <v>94</v>
      </c>
      <c r="O33" t="s">
        <v>44</v>
      </c>
      <c r="P33" t="s">
        <v>45</v>
      </c>
    </row>
    <row r="34" spans="1:16">
      <c r="A34" s="12">
        <f>ROW() - ROW(Table1[[#Headers],[SL No.]])</f>
        <v>33</v>
      </c>
      <c r="B34" s="17" t="s">
        <v>312</v>
      </c>
      <c r="C34" s="24" t="s">
        <v>546</v>
      </c>
      <c r="D34" s="24" t="s">
        <v>547</v>
      </c>
      <c r="E34" s="19" t="s">
        <v>548</v>
      </c>
      <c r="F34" s="15">
        <v>46041</v>
      </c>
      <c r="G34" t="s">
        <v>38</v>
      </c>
      <c r="H34" s="4"/>
      <c r="I34" s="33" t="s">
        <v>56</v>
      </c>
      <c r="J34" t="s">
        <v>49</v>
      </c>
      <c r="K34" s="20">
        <v>600</v>
      </c>
      <c r="L34" t="s">
        <v>549</v>
      </c>
      <c r="M34" t="s">
        <v>550</v>
      </c>
      <c r="N34" t="s">
        <v>551</v>
      </c>
      <c r="O34" t="s">
        <v>44</v>
      </c>
    </row>
    <row r="35" spans="1:16">
      <c r="A35" s="12">
        <f>ROW() - ROW(Table1[[#Headers],[SL No.]])</f>
        <v>34</v>
      </c>
      <c r="B35" s="17" t="s">
        <v>536</v>
      </c>
      <c r="C35" s="24" t="s">
        <v>552</v>
      </c>
      <c r="D35" s="24" t="s">
        <v>553</v>
      </c>
      <c r="E35" s="19" t="s">
        <v>554</v>
      </c>
      <c r="F35" s="15">
        <v>46041</v>
      </c>
      <c r="G35" t="s">
        <v>38</v>
      </c>
      <c r="H35" s="4"/>
      <c r="I35" s="33" t="s">
        <v>56</v>
      </c>
      <c r="J35" t="s">
        <v>49</v>
      </c>
      <c r="K35" s="20">
        <v>600</v>
      </c>
      <c r="L35" t="s">
        <v>549</v>
      </c>
      <c r="M35" t="s">
        <v>550</v>
      </c>
      <c r="N35" t="s">
        <v>551</v>
      </c>
      <c r="O35" t="s">
        <v>44</v>
      </c>
    </row>
    <row r="36" spans="1:16">
      <c r="A36" s="12">
        <f>ROW() - ROW(Table1[[#Headers],[SL No.]])</f>
        <v>35</v>
      </c>
      <c r="B36" s="17" t="s">
        <v>10</v>
      </c>
      <c r="C36" s="24" t="s">
        <v>555</v>
      </c>
      <c r="D36" s="24" t="s">
        <v>556</v>
      </c>
      <c r="E36" s="19" t="s">
        <v>557</v>
      </c>
      <c r="F36" s="15">
        <v>46061</v>
      </c>
      <c r="H36" s="4"/>
      <c r="I36" s="33" t="s">
        <v>39</v>
      </c>
      <c r="J36" t="s">
        <v>49</v>
      </c>
      <c r="K36" s="20">
        <v>530</v>
      </c>
      <c r="L36" t="s">
        <v>558</v>
      </c>
      <c r="M36" t="s">
        <v>51</v>
      </c>
      <c r="N36" t="s">
        <v>411</v>
      </c>
      <c r="O36" t="s">
        <v>44</v>
      </c>
    </row>
    <row r="37" spans="1:16">
      <c r="A37" s="12">
        <f>ROW() - ROW(Table1[[#Headers],[SL No.]])</f>
        <v>36</v>
      </c>
      <c r="B37" s="17" t="s">
        <v>10</v>
      </c>
      <c r="C37" s="1" t="s">
        <v>559</v>
      </c>
      <c r="D37" s="1" t="s">
        <v>560</v>
      </c>
      <c r="E37" s="19">
        <v>910401390</v>
      </c>
      <c r="F37" s="15">
        <v>46070</v>
      </c>
      <c r="G37" t="s">
        <v>38</v>
      </c>
      <c r="H37" s="4"/>
      <c r="I37" t="s">
        <v>39</v>
      </c>
      <c r="J37" t="s">
        <v>40</v>
      </c>
      <c r="K37" s="20">
        <v>370</v>
      </c>
      <c r="L37" t="s">
        <v>561</v>
      </c>
      <c r="M37" t="s">
        <v>231</v>
      </c>
      <c r="N37" t="s">
        <v>232</v>
      </c>
      <c r="O37" t="s">
        <v>44</v>
      </c>
      <c r="P37" t="s">
        <v>45</v>
      </c>
    </row>
    <row r="38" spans="1:16">
      <c r="A38" s="12">
        <f>ROW() - ROW(Table1[[#Headers],[SL No.]])</f>
        <v>37</v>
      </c>
      <c r="B38" s="17" t="s">
        <v>9</v>
      </c>
      <c r="C38" s="1" t="s">
        <v>562</v>
      </c>
      <c r="D38" s="1" t="s">
        <v>563</v>
      </c>
      <c r="E38" s="19" t="s">
        <v>564</v>
      </c>
      <c r="F38" s="15">
        <v>46062</v>
      </c>
      <c r="H38" s="4"/>
      <c r="K38" s="20">
        <v>670</v>
      </c>
      <c r="L38" t="s">
        <v>565</v>
      </c>
      <c r="N38" t="s">
        <v>551</v>
      </c>
      <c r="O38" t="s">
        <v>44</v>
      </c>
    </row>
    <row r="39" spans="1:16">
      <c r="A39" s="12">
        <f>ROW() - ROW(Table1[[#Headers],[SL No.]])</f>
        <v>38</v>
      </c>
      <c r="B39" s="17" t="s">
        <v>12</v>
      </c>
      <c r="C39" s="1" t="s">
        <v>566</v>
      </c>
      <c r="D39" s="1" t="s">
        <v>567</v>
      </c>
      <c r="E39" s="19" t="s">
        <v>568</v>
      </c>
      <c r="F39" s="15">
        <v>46075</v>
      </c>
      <c r="G39" t="s">
        <v>38</v>
      </c>
      <c r="H39" s="4"/>
      <c r="I39" t="s">
        <v>56</v>
      </c>
      <c r="J39" t="s">
        <v>49</v>
      </c>
      <c r="K39" s="20">
        <v>500</v>
      </c>
      <c r="L39" t="s">
        <v>134</v>
      </c>
      <c r="M39" t="s">
        <v>51</v>
      </c>
      <c r="N39" t="s">
        <v>364</v>
      </c>
      <c r="O39" t="s">
        <v>44</v>
      </c>
    </row>
    <row r="40" spans="1:16">
      <c r="A40" s="12">
        <f>ROW() - ROW(Table1[[#Headers],[SL No.]])</f>
        <v>39</v>
      </c>
      <c r="B40" s="17" t="s">
        <v>14</v>
      </c>
      <c r="C40" s="1" t="s">
        <v>569</v>
      </c>
      <c r="D40" s="1" t="s">
        <v>570</v>
      </c>
      <c r="E40" s="19" t="s">
        <v>571</v>
      </c>
      <c r="F40" s="15">
        <v>46071</v>
      </c>
      <c r="G40" t="s">
        <v>38</v>
      </c>
      <c r="H40" s="4"/>
      <c r="I40" t="s">
        <v>56</v>
      </c>
      <c r="J40" t="s">
        <v>49</v>
      </c>
      <c r="K40" s="20">
        <v>600</v>
      </c>
      <c r="L40" t="s">
        <v>572</v>
      </c>
      <c r="M40" t="s">
        <v>573</v>
      </c>
      <c r="N40" t="s">
        <v>574</v>
      </c>
      <c r="O40" t="s">
        <v>44</v>
      </c>
    </row>
    <row r="41" spans="1:16">
      <c r="A41" s="12">
        <f>ROW() - ROW(Table1[[#Headers],[SL No.]])</f>
        <v>40</v>
      </c>
      <c r="B41" s="17" t="s">
        <v>9</v>
      </c>
      <c r="C41" s="1" t="s">
        <v>575</v>
      </c>
      <c r="D41" s="1" t="s">
        <v>576</v>
      </c>
      <c r="E41" s="19" t="s">
        <v>577</v>
      </c>
      <c r="F41" s="15">
        <v>46061</v>
      </c>
      <c r="H41" s="4"/>
      <c r="K41" s="20">
        <v>500</v>
      </c>
      <c r="L41" t="s">
        <v>578</v>
      </c>
      <c r="M41" t="s">
        <v>579</v>
      </c>
      <c r="N41" t="s">
        <v>580</v>
      </c>
      <c r="O41" t="s">
        <v>44</v>
      </c>
    </row>
    <row r="42" spans="1:16">
      <c r="A42" s="12">
        <f>ROW() - ROW(Table1[[#Headers],[SL No.]])</f>
        <v>41</v>
      </c>
      <c r="B42" s="17" t="s">
        <v>9</v>
      </c>
      <c r="C42" s="1" t="s">
        <v>581</v>
      </c>
      <c r="D42" s="1" t="s">
        <v>582</v>
      </c>
      <c r="E42" s="19">
        <v>971000689</v>
      </c>
      <c r="F42" s="15">
        <v>46071</v>
      </c>
      <c r="G42" t="s">
        <v>38</v>
      </c>
      <c r="H42" s="4"/>
      <c r="I42" t="s">
        <v>56</v>
      </c>
      <c r="J42" t="s">
        <v>49</v>
      </c>
      <c r="K42" s="20">
        <v>800</v>
      </c>
      <c r="L42" t="s">
        <v>583</v>
      </c>
      <c r="M42" t="s">
        <v>584</v>
      </c>
      <c r="N42" t="s">
        <v>585</v>
      </c>
      <c r="O42" t="s">
        <v>44</v>
      </c>
    </row>
    <row r="43" spans="1:16">
      <c r="A43" s="12">
        <f>ROW() - ROW(Table1[[#Headers],[SL No.]])</f>
        <v>42</v>
      </c>
      <c r="B43" s="17" t="s">
        <v>10</v>
      </c>
      <c r="C43" s="1" t="s">
        <v>95</v>
      </c>
      <c r="D43" s="1" t="s">
        <v>96</v>
      </c>
      <c r="E43" s="19" t="s">
        <v>97</v>
      </c>
      <c r="F43" s="15">
        <v>45893</v>
      </c>
      <c r="G43" t="s">
        <v>38</v>
      </c>
      <c r="H43" s="4"/>
      <c r="I43" t="s">
        <v>39</v>
      </c>
      <c r="J43" t="s">
        <v>98</v>
      </c>
      <c r="K43" s="20">
        <v>450</v>
      </c>
      <c r="L43" t="s">
        <v>99</v>
      </c>
      <c r="M43" t="s">
        <v>100</v>
      </c>
      <c r="N43" t="s">
        <v>101</v>
      </c>
      <c r="O43" t="s">
        <v>44</v>
      </c>
      <c r="P43" t="s">
        <v>45</v>
      </c>
    </row>
    <row r="44" spans="1:16">
      <c r="A44" s="12">
        <f>ROW() - ROW(Table1[[#Headers],[SL No.]])</f>
        <v>43</v>
      </c>
      <c r="B44" s="17" t="s">
        <v>10</v>
      </c>
      <c r="C44" s="1" t="s">
        <v>102</v>
      </c>
      <c r="D44" s="22" t="s">
        <v>103</v>
      </c>
      <c r="E44" s="19" t="s">
        <v>104</v>
      </c>
      <c r="F44" s="15">
        <v>45886</v>
      </c>
      <c r="G44" t="s">
        <v>38</v>
      </c>
      <c r="H44" s="4"/>
      <c r="I44" t="s">
        <v>39</v>
      </c>
      <c r="J44" t="s">
        <v>40</v>
      </c>
      <c r="K44" s="20">
        <v>350</v>
      </c>
      <c r="L44" t="s">
        <v>105</v>
      </c>
      <c r="M44" t="s">
        <v>106</v>
      </c>
      <c r="N44" t="s">
        <v>107</v>
      </c>
      <c r="O44" t="s">
        <v>44</v>
      </c>
      <c r="P44" t="s">
        <v>45</v>
      </c>
    </row>
    <row r="45" spans="1:16">
      <c r="A45" s="12">
        <f>ROW() - ROW(Table1[[#Headers],[SL No.]])</f>
        <v>44</v>
      </c>
      <c r="B45" s="17" t="s">
        <v>9</v>
      </c>
      <c r="C45" s="1" t="s">
        <v>586</v>
      </c>
      <c r="D45" s="1" t="s">
        <v>587</v>
      </c>
      <c r="E45" s="19">
        <v>981206620</v>
      </c>
      <c r="F45" s="15">
        <v>46068</v>
      </c>
      <c r="H45" s="4"/>
      <c r="I45" t="s">
        <v>56</v>
      </c>
      <c r="J45" t="s">
        <v>49</v>
      </c>
      <c r="K45" s="20">
        <v>500</v>
      </c>
      <c r="L45" t="s">
        <v>588</v>
      </c>
      <c r="M45" t="s">
        <v>589</v>
      </c>
      <c r="N45" s="40" t="s">
        <v>590</v>
      </c>
      <c r="O45" t="s">
        <v>44</v>
      </c>
    </row>
    <row r="46" spans="1:16">
      <c r="A46" s="12">
        <f>ROW() - ROW(Table1[[#Headers],[SL No.]])</f>
        <v>45</v>
      </c>
      <c r="B46" s="17" t="s">
        <v>9</v>
      </c>
      <c r="C46" s="1" t="s">
        <v>591</v>
      </c>
      <c r="D46" s="1" t="s">
        <v>592</v>
      </c>
      <c r="E46" s="19">
        <v>20203896</v>
      </c>
      <c r="F46" s="15">
        <v>46068</v>
      </c>
      <c r="H46" s="4"/>
      <c r="I46" t="s">
        <v>56</v>
      </c>
      <c r="J46" t="s">
        <v>49</v>
      </c>
      <c r="K46" s="20">
        <v>500</v>
      </c>
      <c r="L46" t="s">
        <v>588</v>
      </c>
      <c r="M46" t="s">
        <v>589</v>
      </c>
      <c r="N46" s="40" t="s">
        <v>590</v>
      </c>
      <c r="O46" t="s">
        <v>44</v>
      </c>
    </row>
    <row r="47" spans="1:16">
      <c r="A47" s="12">
        <f>ROW() - ROW(Table1[[#Headers],[SL No.]])</f>
        <v>46</v>
      </c>
      <c r="B47" s="17" t="s">
        <v>9</v>
      </c>
      <c r="C47" s="1" t="s">
        <v>593</v>
      </c>
      <c r="D47" s="1" t="s">
        <v>594</v>
      </c>
      <c r="E47" s="19">
        <v>981003133</v>
      </c>
      <c r="F47" s="15">
        <v>46076</v>
      </c>
      <c r="H47" s="4"/>
      <c r="K47" s="20">
        <v>500</v>
      </c>
      <c r="L47" t="s">
        <v>595</v>
      </c>
      <c r="M47" t="s">
        <v>596</v>
      </c>
      <c r="N47" s="40"/>
      <c r="O47" t="s">
        <v>44</v>
      </c>
    </row>
    <row r="48" spans="1:16">
      <c r="A48" s="12">
        <f>ROW() - ROW(Table1[[#Headers],[SL No.]])</f>
        <v>47</v>
      </c>
      <c r="B48" s="17" t="s">
        <v>10</v>
      </c>
      <c r="C48" s="1" t="s">
        <v>108</v>
      </c>
      <c r="D48" s="1" t="s">
        <v>109</v>
      </c>
      <c r="E48" s="19" t="s">
        <v>110</v>
      </c>
      <c r="F48" s="15">
        <v>45721</v>
      </c>
      <c r="H48" s="4"/>
      <c r="I48" t="s">
        <v>56</v>
      </c>
      <c r="J48" t="s">
        <v>40</v>
      </c>
      <c r="K48" s="20">
        <v>350</v>
      </c>
      <c r="L48" t="s">
        <v>111</v>
      </c>
      <c r="M48" t="s">
        <v>112</v>
      </c>
      <c r="N48" s="40" t="s">
        <v>113</v>
      </c>
      <c r="O48" t="s">
        <v>44</v>
      </c>
      <c r="P48" t="s">
        <v>45</v>
      </c>
    </row>
    <row r="49" spans="1:16">
      <c r="A49" s="12">
        <f>ROW() - ROW(Table1[[#Headers],[SL No.]])</f>
        <v>48</v>
      </c>
      <c r="B49" s="17" t="s">
        <v>9</v>
      </c>
      <c r="C49" s="1" t="s">
        <v>597</v>
      </c>
      <c r="D49" s="1" t="s">
        <v>598</v>
      </c>
      <c r="E49" s="19">
        <v>950704415</v>
      </c>
      <c r="F49" s="15">
        <v>46082</v>
      </c>
      <c r="H49" s="4"/>
      <c r="I49" t="s">
        <v>56</v>
      </c>
      <c r="J49" t="s">
        <v>49</v>
      </c>
      <c r="K49" s="20">
        <v>600</v>
      </c>
      <c r="L49" t="s">
        <v>599</v>
      </c>
      <c r="M49" t="s">
        <v>600</v>
      </c>
      <c r="N49" s="40" t="s">
        <v>601</v>
      </c>
      <c r="O49" t="s">
        <v>44</v>
      </c>
    </row>
    <row r="50" spans="1:16">
      <c r="A50" s="12">
        <f>ROW() - ROW(Table1[[#Headers],[SL No.]])</f>
        <v>49</v>
      </c>
      <c r="B50" s="17" t="s">
        <v>10</v>
      </c>
      <c r="C50" s="1" t="s">
        <v>114</v>
      </c>
      <c r="D50" s="1" t="s">
        <v>115</v>
      </c>
      <c r="E50" s="19" t="s">
        <v>116</v>
      </c>
      <c r="F50" s="15">
        <v>45725</v>
      </c>
      <c r="H50" s="4"/>
      <c r="I50" t="s">
        <v>39</v>
      </c>
      <c r="J50" t="s">
        <v>40</v>
      </c>
      <c r="K50" s="20">
        <v>350</v>
      </c>
      <c r="L50" t="s">
        <v>117</v>
      </c>
      <c r="M50" t="s">
        <v>118</v>
      </c>
      <c r="N50" s="40" t="s">
        <v>119</v>
      </c>
      <c r="O50" t="s">
        <v>44</v>
      </c>
      <c r="P50" t="s">
        <v>45</v>
      </c>
    </row>
    <row r="51" spans="1:16">
      <c r="A51" s="12">
        <f>ROW() - ROW(Table1[[#Headers],[SL No.]])</f>
        <v>50</v>
      </c>
      <c r="B51" s="17" t="s">
        <v>10</v>
      </c>
      <c r="C51" s="1" t="s">
        <v>120</v>
      </c>
      <c r="D51" s="1" t="s">
        <v>121</v>
      </c>
      <c r="E51" s="19" t="s">
        <v>122</v>
      </c>
      <c r="F51" s="15">
        <v>45911</v>
      </c>
      <c r="G51" t="s">
        <v>38</v>
      </c>
      <c r="H51" s="4" t="s">
        <v>38</v>
      </c>
      <c r="I51" t="s">
        <v>39</v>
      </c>
      <c r="J51" t="s">
        <v>40</v>
      </c>
      <c r="K51" s="20">
        <v>500</v>
      </c>
      <c r="L51" t="s">
        <v>123</v>
      </c>
      <c r="M51" t="s">
        <v>124</v>
      </c>
      <c r="N51" s="40" t="s">
        <v>125</v>
      </c>
      <c r="O51" t="s">
        <v>44</v>
      </c>
      <c r="P51" t="s">
        <v>45</v>
      </c>
    </row>
    <row r="52" spans="1:16">
      <c r="A52" s="12">
        <f>ROW() - ROW(Table1[[#Headers],[SL No.]])</f>
        <v>51</v>
      </c>
      <c r="B52" s="17" t="s">
        <v>10</v>
      </c>
      <c r="C52" s="1" t="s">
        <v>126</v>
      </c>
      <c r="D52" s="1" t="s">
        <v>127</v>
      </c>
      <c r="E52" s="19" t="s">
        <v>128</v>
      </c>
      <c r="F52" s="15">
        <v>45914</v>
      </c>
      <c r="H52" s="4"/>
      <c r="I52" t="s">
        <v>39</v>
      </c>
      <c r="J52" t="s">
        <v>49</v>
      </c>
      <c r="K52" s="20">
        <v>500</v>
      </c>
      <c r="L52" t="s">
        <v>129</v>
      </c>
      <c r="M52" t="s">
        <v>130</v>
      </c>
      <c r="N52" s="40" t="s">
        <v>119</v>
      </c>
      <c r="O52" t="s">
        <v>44</v>
      </c>
      <c r="P52" t="s">
        <v>45</v>
      </c>
    </row>
    <row r="53" spans="1:16">
      <c r="A53" s="12">
        <f>ROW() - ROW(Table1[[#Headers],[SL No.]])</f>
        <v>52</v>
      </c>
      <c r="B53" s="17" t="s">
        <v>10</v>
      </c>
      <c r="C53" s="1" t="s">
        <v>131</v>
      </c>
      <c r="D53" s="1" t="s">
        <v>132</v>
      </c>
      <c r="E53" s="19" t="s">
        <v>133</v>
      </c>
      <c r="F53" s="15">
        <v>45739</v>
      </c>
      <c r="G53" t="s">
        <v>38</v>
      </c>
      <c r="H53" s="4" t="s">
        <v>38</v>
      </c>
      <c r="I53" t="s">
        <v>39</v>
      </c>
      <c r="J53" t="s">
        <v>40</v>
      </c>
      <c r="K53" s="20">
        <v>400</v>
      </c>
      <c r="L53" t="s">
        <v>134</v>
      </c>
      <c r="M53" t="s">
        <v>135</v>
      </c>
      <c r="N53" s="40" t="s">
        <v>136</v>
      </c>
      <c r="O53" t="s">
        <v>44</v>
      </c>
      <c r="P53" t="s">
        <v>45</v>
      </c>
    </row>
    <row r="54" spans="1:16">
      <c r="A54" s="12">
        <f>ROW() - ROW(Table1[[#Headers],[SL No.]])</f>
        <v>53</v>
      </c>
      <c r="B54" s="17" t="s">
        <v>10</v>
      </c>
      <c r="C54" s="1" t="s">
        <v>137</v>
      </c>
      <c r="D54" s="1" t="s">
        <v>138</v>
      </c>
      <c r="E54" s="19">
        <v>960800360</v>
      </c>
      <c r="F54" s="15">
        <v>45922</v>
      </c>
      <c r="G54" t="s">
        <v>38</v>
      </c>
      <c r="H54" s="4" t="s">
        <v>38</v>
      </c>
      <c r="I54" t="s">
        <v>39</v>
      </c>
      <c r="J54" t="s">
        <v>40</v>
      </c>
      <c r="K54" s="20">
        <v>400</v>
      </c>
      <c r="L54" t="s">
        <v>139</v>
      </c>
      <c r="M54" t="s">
        <v>140</v>
      </c>
      <c r="N54" s="40" t="s">
        <v>141</v>
      </c>
      <c r="O54" t="s">
        <v>44</v>
      </c>
      <c r="P54" t="s">
        <v>45</v>
      </c>
    </row>
    <row r="55" spans="1:16">
      <c r="A55" s="12">
        <f>ROW() - ROW(Table1[[#Headers],[SL No.]])</f>
        <v>54</v>
      </c>
      <c r="B55" s="17" t="s">
        <v>10</v>
      </c>
      <c r="C55" s="1" t="s">
        <v>142</v>
      </c>
      <c r="D55" s="1" t="s">
        <v>143</v>
      </c>
      <c r="E55" s="19" t="s">
        <v>144</v>
      </c>
      <c r="F55" s="15">
        <v>45922</v>
      </c>
      <c r="G55" t="s">
        <v>38</v>
      </c>
      <c r="H55" s="4" t="s">
        <v>38</v>
      </c>
      <c r="I55" t="s">
        <v>39</v>
      </c>
      <c r="J55" t="s">
        <v>49</v>
      </c>
      <c r="K55" s="20">
        <v>600</v>
      </c>
      <c r="L55" t="s">
        <v>145</v>
      </c>
      <c r="M55" t="s">
        <v>146</v>
      </c>
      <c r="N55" s="40" t="s">
        <v>65</v>
      </c>
      <c r="O55" t="s">
        <v>44</v>
      </c>
      <c r="P55" t="s">
        <v>45</v>
      </c>
    </row>
    <row r="56" spans="1:16">
      <c r="A56" s="12">
        <f>ROW() - ROW(Table1[[#Headers],[SL No.]])</f>
        <v>55</v>
      </c>
      <c r="B56" s="17" t="s">
        <v>9</v>
      </c>
      <c r="C56" s="1" t="s">
        <v>147</v>
      </c>
      <c r="D56" s="1" t="s">
        <v>148</v>
      </c>
      <c r="E56" s="19">
        <v>10306587</v>
      </c>
      <c r="F56" s="15">
        <v>45921</v>
      </c>
      <c r="G56" t="s">
        <v>38</v>
      </c>
      <c r="H56" s="4" t="s">
        <v>38</v>
      </c>
      <c r="I56" t="s">
        <v>39</v>
      </c>
      <c r="J56" t="s">
        <v>49</v>
      </c>
      <c r="K56" s="20">
        <v>378</v>
      </c>
      <c r="L56" t="s">
        <v>50</v>
      </c>
      <c r="M56" t="s">
        <v>149</v>
      </c>
      <c r="N56" s="40" t="s">
        <v>150</v>
      </c>
      <c r="O56" t="s">
        <v>44</v>
      </c>
    </row>
    <row r="57" spans="1:16">
      <c r="A57" s="12">
        <f>ROW() - ROW(Table1[[#Headers],[SL No.]])</f>
        <v>56</v>
      </c>
      <c r="B57" s="17" t="s">
        <v>9</v>
      </c>
      <c r="C57" s="1" t="s">
        <v>151</v>
      </c>
      <c r="D57" s="1" t="s">
        <v>152</v>
      </c>
      <c r="E57" s="19">
        <v>920300600</v>
      </c>
      <c r="F57" s="15">
        <v>45921</v>
      </c>
      <c r="H57" s="4"/>
      <c r="I57" t="s">
        <v>56</v>
      </c>
      <c r="J57" t="s">
        <v>49</v>
      </c>
      <c r="K57" s="20">
        <v>500</v>
      </c>
      <c r="L57" t="s">
        <v>86</v>
      </c>
      <c r="M57" t="s">
        <v>153</v>
      </c>
      <c r="N57" s="40" t="s">
        <v>154</v>
      </c>
    </row>
    <row r="58" spans="1:16">
      <c r="A58" s="12">
        <f>ROW() - ROW(Table1[[#Headers],[SL No.]])</f>
        <v>57</v>
      </c>
      <c r="B58" s="17" t="s">
        <v>10</v>
      </c>
      <c r="C58" s="1" t="s">
        <v>155</v>
      </c>
      <c r="D58" s="1" t="s">
        <v>156</v>
      </c>
      <c r="E58" s="19" t="s">
        <v>157</v>
      </c>
      <c r="F58" s="15">
        <v>45740</v>
      </c>
      <c r="G58" t="s">
        <v>38</v>
      </c>
      <c r="H58" s="4" t="s">
        <v>38</v>
      </c>
      <c r="I58" t="s">
        <v>56</v>
      </c>
      <c r="J58" t="s">
        <v>49</v>
      </c>
      <c r="K58" s="20">
        <v>500</v>
      </c>
      <c r="L58" t="s">
        <v>158</v>
      </c>
      <c r="M58" t="s">
        <v>140</v>
      </c>
      <c r="N58" s="40" t="s">
        <v>141</v>
      </c>
      <c r="O58" t="s">
        <v>44</v>
      </c>
      <c r="P58" t="s">
        <v>45</v>
      </c>
    </row>
    <row r="59" spans="1:16">
      <c r="A59" s="12">
        <f>ROW() - ROW(Table1[[#Headers],[SL No.]])</f>
        <v>58</v>
      </c>
      <c r="B59" s="17" t="s">
        <v>9</v>
      </c>
      <c r="C59" s="1" t="s">
        <v>159</v>
      </c>
      <c r="D59" s="1" t="s">
        <v>160</v>
      </c>
      <c r="E59" s="19">
        <v>891103503</v>
      </c>
      <c r="F59" s="15">
        <v>45792</v>
      </c>
      <c r="H59" s="4"/>
      <c r="I59" t="s">
        <v>39</v>
      </c>
      <c r="K59" s="20"/>
      <c r="M59" t="s">
        <v>93</v>
      </c>
      <c r="N59" s="40" t="s">
        <v>94</v>
      </c>
      <c r="O59" t="s">
        <v>44</v>
      </c>
    </row>
    <row r="60" spans="1:16">
      <c r="A60" s="12">
        <f>ROW() - ROW(Table1[[#Headers],[SL No.]])</f>
        <v>59</v>
      </c>
      <c r="B60" s="17" t="s">
        <v>1</v>
      </c>
      <c r="C60" s="1" t="s">
        <v>161</v>
      </c>
      <c r="D60" s="1" t="s">
        <v>162</v>
      </c>
      <c r="E60" s="19" t="s">
        <v>163</v>
      </c>
      <c r="F60" s="15">
        <v>45922</v>
      </c>
      <c r="G60" t="s">
        <v>38</v>
      </c>
      <c r="H60" s="4"/>
      <c r="I60" t="s">
        <v>39</v>
      </c>
      <c r="J60" t="s">
        <v>98</v>
      </c>
      <c r="K60" s="20">
        <v>1200</v>
      </c>
      <c r="L60" t="s">
        <v>164</v>
      </c>
      <c r="M60" t="s">
        <v>165</v>
      </c>
      <c r="N60" s="40" t="s">
        <v>166</v>
      </c>
      <c r="O60" t="s">
        <v>44</v>
      </c>
      <c r="P60" t="s">
        <v>167</v>
      </c>
    </row>
    <row r="61" spans="1:16">
      <c r="A61" s="12">
        <f>ROW() - ROW(Table1[[#Headers],[SL No.]])</f>
        <v>60</v>
      </c>
      <c r="B61" s="17" t="s">
        <v>12</v>
      </c>
      <c r="C61" s="1" t="s">
        <v>168</v>
      </c>
      <c r="D61" s="1" t="s">
        <v>1181</v>
      </c>
      <c r="E61" s="19"/>
      <c r="F61" s="15">
        <v>45668</v>
      </c>
      <c r="H61" s="4"/>
      <c r="K61" s="20"/>
      <c r="N61" s="40"/>
    </row>
    <row r="62" spans="1:16">
      <c r="A62" s="12">
        <f>ROW() - ROW(Table1[[#Headers],[SL No.]])</f>
        <v>61</v>
      </c>
      <c r="B62" s="17" t="s">
        <v>9</v>
      </c>
      <c r="C62" s="1" t="s">
        <v>174</v>
      </c>
      <c r="D62" s="1" t="s">
        <v>175</v>
      </c>
      <c r="E62" s="19">
        <v>1203282</v>
      </c>
      <c r="F62" s="15">
        <v>45811</v>
      </c>
      <c r="G62" t="s">
        <v>38</v>
      </c>
      <c r="H62" s="4"/>
      <c r="I62" t="s">
        <v>56</v>
      </c>
      <c r="J62" t="s">
        <v>49</v>
      </c>
      <c r="K62" s="20">
        <v>500</v>
      </c>
      <c r="L62" t="s">
        <v>176</v>
      </c>
      <c r="M62" t="s">
        <v>177</v>
      </c>
      <c r="N62" s="40" t="s">
        <v>178</v>
      </c>
      <c r="O62" t="s">
        <v>44</v>
      </c>
    </row>
    <row r="63" spans="1:16" ht="26.25">
      <c r="A63" s="12">
        <f>ROW() - ROW(Table1[[#Headers],[SL No.]])</f>
        <v>62</v>
      </c>
      <c r="B63" s="17" t="s">
        <v>10</v>
      </c>
      <c r="C63" s="1" t="s">
        <v>602</v>
      </c>
      <c r="D63" s="1" t="s">
        <v>603</v>
      </c>
      <c r="E63" s="65" t="s">
        <v>604</v>
      </c>
      <c r="F63" s="15">
        <v>46095</v>
      </c>
      <c r="H63" s="4"/>
      <c r="I63" t="s">
        <v>56</v>
      </c>
      <c r="J63" t="s">
        <v>40</v>
      </c>
      <c r="K63" s="20">
        <v>350</v>
      </c>
      <c r="L63" t="s">
        <v>294</v>
      </c>
      <c r="M63" t="s">
        <v>605</v>
      </c>
      <c r="N63" s="40" t="s">
        <v>606</v>
      </c>
      <c r="O63" t="s">
        <v>44</v>
      </c>
    </row>
    <row r="64" spans="1:16">
      <c r="A64" s="12">
        <f>ROW() - ROW(Table1[[#Headers],[SL No.]])</f>
        <v>63</v>
      </c>
      <c r="B64" s="17" t="s">
        <v>10</v>
      </c>
      <c r="C64" s="1" t="s">
        <v>607</v>
      </c>
      <c r="D64" s="1" t="s">
        <v>608</v>
      </c>
      <c r="E64" s="19" t="s">
        <v>609</v>
      </c>
      <c r="F64" s="15">
        <v>46095</v>
      </c>
      <c r="H64" s="4"/>
      <c r="I64" t="s">
        <v>39</v>
      </c>
      <c r="J64" t="s">
        <v>40</v>
      </c>
      <c r="K64" s="20">
        <v>400</v>
      </c>
      <c r="L64" t="s">
        <v>294</v>
      </c>
      <c r="M64" t="s">
        <v>610</v>
      </c>
      <c r="N64" s="40" t="s">
        <v>611</v>
      </c>
      <c r="O64" t="s">
        <v>44</v>
      </c>
    </row>
    <row r="65" spans="1:16">
      <c r="A65" s="12">
        <f>ROW() - ROW(Table1[[#Headers],[SL No.]])</f>
        <v>64</v>
      </c>
      <c r="B65" s="17" t="s">
        <v>9</v>
      </c>
      <c r="C65" s="1" t="s">
        <v>179</v>
      </c>
      <c r="D65" s="1" t="s">
        <v>180</v>
      </c>
      <c r="E65" s="19">
        <v>950405051</v>
      </c>
      <c r="F65" s="15">
        <v>45819</v>
      </c>
      <c r="G65" t="s">
        <v>38</v>
      </c>
      <c r="H65" s="4"/>
      <c r="I65" t="s">
        <v>39</v>
      </c>
      <c r="J65" t="s">
        <v>40</v>
      </c>
      <c r="K65" s="20"/>
      <c r="M65" t="s">
        <v>181</v>
      </c>
      <c r="N65" s="40" t="s">
        <v>182</v>
      </c>
      <c r="O65" t="s">
        <v>44</v>
      </c>
    </row>
    <row r="66" spans="1:16">
      <c r="A66" s="12">
        <f>ROW() - ROW(Table1[[#Headers],[SL No.]])</f>
        <v>65</v>
      </c>
      <c r="B66" s="17" t="s">
        <v>6</v>
      </c>
      <c r="C66" s="1" t="s">
        <v>183</v>
      </c>
      <c r="D66" s="1" t="s">
        <v>184</v>
      </c>
      <c r="E66" s="19">
        <v>970303335</v>
      </c>
      <c r="F66" s="15">
        <v>46012</v>
      </c>
      <c r="G66" t="s">
        <v>38</v>
      </c>
      <c r="H66" s="4" t="s">
        <v>38</v>
      </c>
      <c r="I66" t="s">
        <v>39</v>
      </c>
      <c r="J66" t="s">
        <v>98</v>
      </c>
      <c r="K66" s="20">
        <v>700</v>
      </c>
      <c r="L66" t="s">
        <v>80</v>
      </c>
      <c r="M66" t="s">
        <v>185</v>
      </c>
      <c r="N66" s="40" t="s">
        <v>186</v>
      </c>
      <c r="O66" t="s">
        <v>44</v>
      </c>
    </row>
    <row r="67" spans="1:16">
      <c r="A67" s="12">
        <f>ROW() - ROW(Table1[[#Headers],[SL No.]])</f>
        <v>66</v>
      </c>
      <c r="B67" s="17" t="s">
        <v>6</v>
      </c>
      <c r="C67" s="1" t="s">
        <v>612</v>
      </c>
      <c r="D67" s="1" t="s">
        <v>613</v>
      </c>
      <c r="E67" s="19">
        <v>871001594</v>
      </c>
      <c r="F67" s="15">
        <v>46047</v>
      </c>
      <c r="G67" t="s">
        <v>38</v>
      </c>
      <c r="H67" s="4" t="s">
        <v>38</v>
      </c>
      <c r="I67" t="s">
        <v>39</v>
      </c>
      <c r="J67" t="s">
        <v>49</v>
      </c>
      <c r="K67" s="20">
        <v>600</v>
      </c>
      <c r="L67" t="s">
        <v>614</v>
      </c>
      <c r="M67" t="s">
        <v>185</v>
      </c>
      <c r="N67" s="40" t="s">
        <v>186</v>
      </c>
      <c r="O67" t="s">
        <v>44</v>
      </c>
    </row>
    <row r="68" spans="1:16">
      <c r="A68" s="12">
        <f>ROW() - ROW(Table1[[#Headers],[SL No.]])</f>
        <v>67</v>
      </c>
      <c r="B68" s="17" t="s">
        <v>12</v>
      </c>
      <c r="C68" s="1" t="s">
        <v>615</v>
      </c>
      <c r="D68" s="1" t="s">
        <v>616</v>
      </c>
      <c r="E68" s="19" t="s">
        <v>617</v>
      </c>
      <c r="F68" s="15">
        <v>46047</v>
      </c>
      <c r="G68" t="s">
        <v>38</v>
      </c>
      <c r="H68" s="4" t="s">
        <v>38</v>
      </c>
      <c r="I68" t="s">
        <v>39</v>
      </c>
      <c r="J68" t="s">
        <v>40</v>
      </c>
      <c r="K68" s="20">
        <v>700</v>
      </c>
      <c r="L68" t="s">
        <v>80</v>
      </c>
      <c r="M68" t="s">
        <v>185</v>
      </c>
      <c r="N68" s="40" t="s">
        <v>186</v>
      </c>
      <c r="O68" t="s">
        <v>44</v>
      </c>
    </row>
    <row r="69" spans="1:16">
      <c r="A69" s="12">
        <f>ROW() - ROW(Table1[[#Headers],[SL No.]])</f>
        <v>68</v>
      </c>
      <c r="B69" s="17" t="s">
        <v>1</v>
      </c>
      <c r="C69" s="1" t="s">
        <v>618</v>
      </c>
      <c r="D69" s="1" t="s">
        <v>619</v>
      </c>
      <c r="E69" s="19">
        <v>960304584</v>
      </c>
      <c r="F69" s="15">
        <v>46047</v>
      </c>
      <c r="G69" t="s">
        <v>38</v>
      </c>
      <c r="H69" s="4" t="s">
        <v>38</v>
      </c>
      <c r="I69" t="s">
        <v>39</v>
      </c>
      <c r="J69" t="s">
        <v>49</v>
      </c>
      <c r="K69" s="20">
        <v>700</v>
      </c>
      <c r="L69" t="s">
        <v>620</v>
      </c>
      <c r="M69" t="s">
        <v>185</v>
      </c>
      <c r="N69" s="40" t="s">
        <v>186</v>
      </c>
      <c r="O69" t="s">
        <v>44</v>
      </c>
    </row>
    <row r="70" spans="1:16">
      <c r="A70" s="12">
        <f>ROW() - ROW(Table1[[#Headers],[SL No.]])</f>
        <v>69</v>
      </c>
      <c r="B70" s="17" t="s">
        <v>6</v>
      </c>
      <c r="C70" s="1" t="s">
        <v>621</v>
      </c>
      <c r="D70" s="1" t="s">
        <v>622</v>
      </c>
      <c r="E70" s="19">
        <v>880403390</v>
      </c>
      <c r="F70" s="15">
        <v>46047</v>
      </c>
      <c r="G70" t="s">
        <v>38</v>
      </c>
      <c r="H70" s="4"/>
      <c r="I70" t="s">
        <v>39</v>
      </c>
      <c r="J70" t="s">
        <v>98</v>
      </c>
      <c r="K70" s="20">
        <v>600</v>
      </c>
      <c r="L70" t="s">
        <v>614</v>
      </c>
      <c r="M70" t="s">
        <v>185</v>
      </c>
      <c r="N70" s="40" t="s">
        <v>186</v>
      </c>
      <c r="O70" t="s">
        <v>44</v>
      </c>
    </row>
    <row r="71" spans="1:16">
      <c r="A71" s="12">
        <f>ROW() - ROW(Table1[[#Headers],[SL No.]])</f>
        <v>70</v>
      </c>
      <c r="B71" s="17" t="s">
        <v>12</v>
      </c>
      <c r="C71" s="1" t="s">
        <v>623</v>
      </c>
      <c r="D71" s="1" t="s">
        <v>624</v>
      </c>
      <c r="E71" s="19">
        <v>930500199</v>
      </c>
      <c r="F71" s="15">
        <v>46113</v>
      </c>
      <c r="H71" s="4"/>
      <c r="I71" t="s">
        <v>56</v>
      </c>
      <c r="J71" t="s">
        <v>49</v>
      </c>
      <c r="K71" s="20">
        <v>550</v>
      </c>
      <c r="L71" t="s">
        <v>625</v>
      </c>
      <c r="M71" t="s">
        <v>626</v>
      </c>
      <c r="N71" s="40" t="s">
        <v>627</v>
      </c>
      <c r="O71" t="s">
        <v>44</v>
      </c>
    </row>
    <row r="72" spans="1:16">
      <c r="A72" s="12">
        <f>ROW() - ROW(Table1[[#Headers],[SL No.]])</f>
        <v>71</v>
      </c>
      <c r="B72" s="17" t="s">
        <v>9</v>
      </c>
      <c r="C72" s="1" t="s">
        <v>628</v>
      </c>
      <c r="D72" s="1" t="s">
        <v>629</v>
      </c>
      <c r="E72" s="19" t="s">
        <v>630</v>
      </c>
      <c r="F72" s="15">
        <v>46111</v>
      </c>
      <c r="H72" s="4"/>
      <c r="I72" t="s">
        <v>56</v>
      </c>
      <c r="J72" t="s">
        <v>49</v>
      </c>
      <c r="K72" s="20">
        <v>500</v>
      </c>
      <c r="L72" t="s">
        <v>631</v>
      </c>
      <c r="M72" t="s">
        <v>632</v>
      </c>
      <c r="N72" s="40" t="s">
        <v>535</v>
      </c>
      <c r="O72" t="s">
        <v>44</v>
      </c>
    </row>
    <row r="73" spans="1:16">
      <c r="A73" s="12">
        <f>ROW() - ROW(Table1[[#Headers],[SL No.]])</f>
        <v>72</v>
      </c>
      <c r="B73" s="17" t="s">
        <v>10</v>
      </c>
      <c r="C73" s="1" t="s">
        <v>633</v>
      </c>
      <c r="D73" s="1" t="s">
        <v>634</v>
      </c>
      <c r="E73" s="19">
        <v>850201527</v>
      </c>
      <c r="F73" s="15">
        <v>46106</v>
      </c>
      <c r="G73" t="s">
        <v>38</v>
      </c>
      <c r="H73" s="4"/>
      <c r="I73" t="s">
        <v>39</v>
      </c>
      <c r="J73" t="s">
        <v>98</v>
      </c>
      <c r="K73" s="20">
        <v>430</v>
      </c>
      <c r="L73" t="s">
        <v>635</v>
      </c>
      <c r="M73" t="s">
        <v>100</v>
      </c>
      <c r="N73" s="40" t="s">
        <v>636</v>
      </c>
      <c r="O73" t="s">
        <v>44</v>
      </c>
      <c r="P73" t="s">
        <v>45</v>
      </c>
    </row>
    <row r="74" spans="1:16">
      <c r="A74" s="12">
        <f>ROW() - ROW(Table1[[#Headers],[SL No.]])</f>
        <v>73</v>
      </c>
      <c r="B74" s="17" t="s">
        <v>12</v>
      </c>
      <c r="C74" s="1" t="s">
        <v>637</v>
      </c>
      <c r="D74" s="1" t="s">
        <v>638</v>
      </c>
      <c r="E74" s="19" t="s">
        <v>639</v>
      </c>
      <c r="F74" s="15">
        <v>46117</v>
      </c>
      <c r="H74" s="4"/>
      <c r="I74" t="s">
        <v>56</v>
      </c>
      <c r="J74" t="s">
        <v>49</v>
      </c>
      <c r="K74" s="20">
        <v>550</v>
      </c>
      <c r="L74" t="s">
        <v>640</v>
      </c>
      <c r="M74" t="s">
        <v>100</v>
      </c>
      <c r="N74" s="40" t="s">
        <v>636</v>
      </c>
      <c r="O74" t="s">
        <v>44</v>
      </c>
    </row>
    <row r="75" spans="1:16">
      <c r="A75" s="12">
        <f>ROW() - ROW(Table1[[#Headers],[SL No.]])</f>
        <v>74</v>
      </c>
      <c r="B75" s="17" t="s">
        <v>10</v>
      </c>
      <c r="C75" s="1" t="s">
        <v>641</v>
      </c>
      <c r="D75" s="1" t="s">
        <v>642</v>
      </c>
      <c r="E75" s="19">
        <v>960907459</v>
      </c>
      <c r="F75" s="15">
        <v>46099</v>
      </c>
      <c r="G75" t="s">
        <v>38</v>
      </c>
      <c r="H75" s="4"/>
      <c r="I75" t="s">
        <v>39</v>
      </c>
      <c r="J75" t="s">
        <v>40</v>
      </c>
      <c r="K75" s="20">
        <v>350</v>
      </c>
      <c r="L75" t="s">
        <v>643</v>
      </c>
      <c r="M75" t="s">
        <v>644</v>
      </c>
      <c r="N75" s="40" t="s">
        <v>645</v>
      </c>
      <c r="O75" t="s">
        <v>44</v>
      </c>
    </row>
    <row r="76" spans="1:16">
      <c r="A76" s="12">
        <f>ROW() - ROW(Table1[[#Headers],[SL No.]])</f>
        <v>75</v>
      </c>
      <c r="B76" s="17" t="s">
        <v>9</v>
      </c>
      <c r="C76" s="1" t="s">
        <v>646</v>
      </c>
      <c r="D76" s="1" t="s">
        <v>647</v>
      </c>
      <c r="E76" s="19">
        <v>981100880</v>
      </c>
      <c r="F76" s="15">
        <v>46113</v>
      </c>
      <c r="H76" s="4"/>
      <c r="I76" t="s">
        <v>39</v>
      </c>
      <c r="J76" t="s">
        <v>40</v>
      </c>
      <c r="K76" s="20">
        <v>350</v>
      </c>
      <c r="L76" t="s">
        <v>643</v>
      </c>
      <c r="M76" t="s">
        <v>644</v>
      </c>
      <c r="N76" s="40" t="s">
        <v>645</v>
      </c>
      <c r="O76" t="s">
        <v>44</v>
      </c>
    </row>
    <row r="77" spans="1:16">
      <c r="A77" s="12">
        <f>ROW() - ROW(Table1[[#Headers],[SL No.]])</f>
        <v>76</v>
      </c>
      <c r="B77" s="17" t="s">
        <v>9</v>
      </c>
      <c r="C77" s="1" t="s">
        <v>648</v>
      </c>
      <c r="D77" s="1" t="s">
        <v>649</v>
      </c>
      <c r="E77" s="19" t="s">
        <v>650</v>
      </c>
      <c r="F77" s="15">
        <v>46113</v>
      </c>
      <c r="H77" s="4"/>
      <c r="I77" t="s">
        <v>56</v>
      </c>
      <c r="J77" t="s">
        <v>49</v>
      </c>
      <c r="K77" s="20">
        <v>500</v>
      </c>
      <c r="L77" t="s">
        <v>651</v>
      </c>
      <c r="M77" t="s">
        <v>652</v>
      </c>
      <c r="N77" s="40" t="s">
        <v>653</v>
      </c>
      <c r="O77" t="s">
        <v>44</v>
      </c>
    </row>
    <row r="78" spans="1:16">
      <c r="A78" s="12">
        <f>ROW() - ROW(Table1[[#Headers],[SL No.]])</f>
        <v>77</v>
      </c>
      <c r="B78" s="17" t="s">
        <v>536</v>
      </c>
      <c r="C78" s="1" t="s">
        <v>654</v>
      </c>
      <c r="D78" s="1" t="s">
        <v>655</v>
      </c>
      <c r="E78" s="19" t="s">
        <v>656</v>
      </c>
      <c r="F78" s="15">
        <v>46104</v>
      </c>
      <c r="H78" s="4"/>
      <c r="I78" t="s">
        <v>56</v>
      </c>
      <c r="J78" t="s">
        <v>49</v>
      </c>
      <c r="K78" s="20">
        <v>700</v>
      </c>
      <c r="L78" t="s">
        <v>657</v>
      </c>
      <c r="M78" t="s">
        <v>658</v>
      </c>
      <c r="N78" s="40" t="s">
        <v>659</v>
      </c>
      <c r="O78" t="s">
        <v>44</v>
      </c>
    </row>
    <row r="79" spans="1:16">
      <c r="A79" s="12">
        <f>ROW() - ROW(Table1[[#Headers],[SL No.]])</f>
        <v>78</v>
      </c>
      <c r="B79" s="17" t="s">
        <v>6</v>
      </c>
      <c r="C79" s="45" t="s">
        <v>660</v>
      </c>
      <c r="D79" s="1" t="s">
        <v>661</v>
      </c>
      <c r="E79" s="19">
        <v>900710381</v>
      </c>
      <c r="F79" s="15">
        <v>46061</v>
      </c>
      <c r="H79" s="4"/>
      <c r="I79" t="s">
        <v>39</v>
      </c>
      <c r="K79" s="20">
        <v>400</v>
      </c>
      <c r="L79" t="s">
        <v>614</v>
      </c>
      <c r="M79" t="s">
        <v>185</v>
      </c>
      <c r="N79" s="40" t="s">
        <v>186</v>
      </c>
      <c r="O79" t="s">
        <v>44</v>
      </c>
    </row>
    <row r="80" spans="1:16">
      <c r="A80" s="12">
        <f>ROW() - ROW(Table1[[#Headers],[SL No.]])</f>
        <v>79</v>
      </c>
      <c r="B80" s="17" t="s">
        <v>6</v>
      </c>
      <c r="C80" s="45" t="s">
        <v>662</v>
      </c>
      <c r="D80" s="1" t="s">
        <v>663</v>
      </c>
      <c r="E80" s="19">
        <v>921205929</v>
      </c>
      <c r="F80" s="15">
        <v>46061</v>
      </c>
      <c r="G80" t="s">
        <v>38</v>
      </c>
      <c r="H80" s="4"/>
      <c r="I80" t="s">
        <v>39</v>
      </c>
      <c r="J80" t="s">
        <v>40</v>
      </c>
      <c r="K80" s="20">
        <v>400</v>
      </c>
      <c r="L80" t="s">
        <v>614</v>
      </c>
      <c r="M80" t="s">
        <v>185</v>
      </c>
      <c r="N80" s="40" t="s">
        <v>186</v>
      </c>
      <c r="O80" t="s">
        <v>44</v>
      </c>
    </row>
    <row r="81" spans="1:15">
      <c r="A81" s="12">
        <f>ROW() - ROW(Table1[[#Headers],[SL No.]])</f>
        <v>80</v>
      </c>
      <c r="B81" s="17" t="s">
        <v>6</v>
      </c>
      <c r="C81" s="45" t="s">
        <v>664</v>
      </c>
      <c r="D81" s="1" t="s">
        <v>665</v>
      </c>
      <c r="E81" s="19">
        <v>991106903</v>
      </c>
      <c r="F81" s="15">
        <v>46054</v>
      </c>
      <c r="H81" s="4"/>
      <c r="I81" t="s">
        <v>39</v>
      </c>
      <c r="K81" s="20">
        <v>400</v>
      </c>
      <c r="L81" t="s">
        <v>666</v>
      </c>
      <c r="M81" t="s">
        <v>185</v>
      </c>
      <c r="N81" s="40" t="s">
        <v>186</v>
      </c>
      <c r="O81" t="s">
        <v>44</v>
      </c>
    </row>
    <row r="82" spans="1:15">
      <c r="A82" s="12">
        <f>ROW() - ROW(Table1[[#Headers],[SL No.]])</f>
        <v>81</v>
      </c>
      <c r="B82" s="17" t="s">
        <v>6</v>
      </c>
      <c r="C82" s="45" t="s">
        <v>667</v>
      </c>
      <c r="D82" s="1" t="s">
        <v>668</v>
      </c>
      <c r="E82" s="19" t="s">
        <v>669</v>
      </c>
      <c r="F82" s="15">
        <v>46061</v>
      </c>
      <c r="G82" t="s">
        <v>38</v>
      </c>
      <c r="H82" s="4"/>
      <c r="I82" t="s">
        <v>39</v>
      </c>
      <c r="J82" t="s">
        <v>40</v>
      </c>
      <c r="K82" s="20">
        <v>400</v>
      </c>
      <c r="L82" t="s">
        <v>614</v>
      </c>
      <c r="M82" t="s">
        <v>185</v>
      </c>
      <c r="N82" s="40" t="s">
        <v>186</v>
      </c>
      <c r="O82" t="s">
        <v>44</v>
      </c>
    </row>
    <row r="83" spans="1:15">
      <c r="A83" s="12">
        <f>ROW() - ROW(Table1[[#Headers],[SL No.]])</f>
        <v>82</v>
      </c>
      <c r="B83" s="17" t="s">
        <v>1</v>
      </c>
      <c r="C83" s="45" t="s">
        <v>11</v>
      </c>
      <c r="D83" s="1" t="s">
        <v>670</v>
      </c>
      <c r="E83" s="19" t="s">
        <v>671</v>
      </c>
      <c r="F83" s="15">
        <v>46068</v>
      </c>
      <c r="H83" s="4"/>
      <c r="I83" t="s">
        <v>39</v>
      </c>
      <c r="K83" s="20">
        <v>500</v>
      </c>
      <c r="L83" t="s">
        <v>614</v>
      </c>
      <c r="M83" t="s">
        <v>185</v>
      </c>
      <c r="N83" s="40" t="s">
        <v>186</v>
      </c>
      <c r="O83" t="s">
        <v>44</v>
      </c>
    </row>
    <row r="84" spans="1:15">
      <c r="A84" s="12">
        <f>ROW() - ROW(Table1[[#Headers],[SL No.]])</f>
        <v>83</v>
      </c>
      <c r="B84" s="17" t="s">
        <v>6</v>
      </c>
      <c r="C84" s="45" t="s">
        <v>672</v>
      </c>
      <c r="D84" s="1" t="s">
        <v>673</v>
      </c>
      <c r="E84" s="19">
        <v>951204181</v>
      </c>
      <c r="F84" s="15">
        <v>46068</v>
      </c>
      <c r="H84" s="4"/>
      <c r="I84" t="s">
        <v>39</v>
      </c>
      <c r="K84" s="20">
        <v>450</v>
      </c>
      <c r="L84" t="s">
        <v>674</v>
      </c>
      <c r="M84" t="s">
        <v>185</v>
      </c>
      <c r="N84" s="40" t="s">
        <v>186</v>
      </c>
      <c r="O84" t="s">
        <v>44</v>
      </c>
    </row>
    <row r="85" spans="1:15">
      <c r="A85" s="12">
        <f>ROW() - ROW(Table1[[#Headers],[SL No.]])</f>
        <v>84</v>
      </c>
      <c r="B85" s="17" t="s">
        <v>6</v>
      </c>
      <c r="C85" s="45" t="s">
        <v>675</v>
      </c>
      <c r="D85" s="1" t="s">
        <v>676</v>
      </c>
      <c r="E85" s="19" t="s">
        <v>677</v>
      </c>
      <c r="F85" s="15">
        <v>46075</v>
      </c>
      <c r="H85" s="4"/>
      <c r="I85" t="s">
        <v>39</v>
      </c>
      <c r="K85" s="20">
        <v>400</v>
      </c>
      <c r="L85" t="s">
        <v>678</v>
      </c>
      <c r="M85" t="s">
        <v>185</v>
      </c>
      <c r="N85" s="40" t="s">
        <v>186</v>
      </c>
      <c r="O85" t="s">
        <v>44</v>
      </c>
    </row>
    <row r="86" spans="1:15">
      <c r="A86" s="12">
        <f>ROW() - ROW(Table1[[#Headers],[SL No.]])</f>
        <v>85</v>
      </c>
      <c r="B86" s="17" t="s">
        <v>6</v>
      </c>
      <c r="C86" s="45" t="s">
        <v>679</v>
      </c>
      <c r="D86" s="1" t="s">
        <v>680</v>
      </c>
      <c r="E86" s="19" t="s">
        <v>681</v>
      </c>
      <c r="F86" s="15">
        <v>46068</v>
      </c>
      <c r="H86" s="4"/>
      <c r="I86" t="s">
        <v>39</v>
      </c>
      <c r="K86" s="20">
        <v>450</v>
      </c>
      <c r="L86" t="s">
        <v>614</v>
      </c>
      <c r="M86" t="s">
        <v>185</v>
      </c>
      <c r="N86" s="40" t="s">
        <v>186</v>
      </c>
      <c r="O86" t="s">
        <v>44</v>
      </c>
    </row>
    <row r="87" spans="1:15">
      <c r="A87" s="12">
        <f>ROW() - ROW(Table1[[#Headers],[SL No.]])</f>
        <v>86</v>
      </c>
      <c r="B87" s="17" t="s">
        <v>6</v>
      </c>
      <c r="C87" s="45" t="s">
        <v>682</v>
      </c>
      <c r="D87" s="1" t="s">
        <v>683</v>
      </c>
      <c r="E87" s="19" t="s">
        <v>684</v>
      </c>
      <c r="F87" s="15">
        <v>46068</v>
      </c>
      <c r="H87" s="4"/>
      <c r="I87" t="s">
        <v>39</v>
      </c>
      <c r="K87" s="20">
        <v>750</v>
      </c>
      <c r="L87" t="s">
        <v>685</v>
      </c>
      <c r="M87" t="s">
        <v>185</v>
      </c>
      <c r="N87" s="40" t="s">
        <v>186</v>
      </c>
      <c r="O87" t="s">
        <v>44</v>
      </c>
    </row>
    <row r="88" spans="1:15">
      <c r="A88" s="12">
        <f>ROW() - ROW(Table1[[#Headers],[SL No.]])</f>
        <v>87</v>
      </c>
      <c r="B88" s="17" t="s">
        <v>12</v>
      </c>
      <c r="C88" s="45" t="s">
        <v>686</v>
      </c>
      <c r="D88" s="1" t="s">
        <v>687</v>
      </c>
      <c r="E88" s="19">
        <v>981011098</v>
      </c>
      <c r="F88" s="15">
        <v>46054</v>
      </c>
      <c r="G88" t="s">
        <v>38</v>
      </c>
      <c r="H88" s="4" t="s">
        <v>38</v>
      </c>
      <c r="I88" t="s">
        <v>39</v>
      </c>
      <c r="J88" t="s">
        <v>49</v>
      </c>
      <c r="K88" s="20">
        <v>550</v>
      </c>
      <c r="L88" t="s">
        <v>666</v>
      </c>
      <c r="M88" t="s">
        <v>185</v>
      </c>
      <c r="N88" s="40" t="s">
        <v>186</v>
      </c>
      <c r="O88" t="s">
        <v>44</v>
      </c>
    </row>
    <row r="89" spans="1:15">
      <c r="A89" s="12">
        <f>ROW() - ROW(Table1[[#Headers],[SL No.]])</f>
        <v>88</v>
      </c>
      <c r="B89" s="17" t="s">
        <v>6</v>
      </c>
      <c r="C89" s="45" t="s">
        <v>688</v>
      </c>
      <c r="D89" s="1" t="s">
        <v>689</v>
      </c>
      <c r="E89" s="19">
        <v>880911212</v>
      </c>
      <c r="F89" s="15">
        <v>46098</v>
      </c>
      <c r="H89" s="4"/>
      <c r="I89" t="s">
        <v>39</v>
      </c>
      <c r="K89" s="20">
        <v>550</v>
      </c>
      <c r="L89" t="s">
        <v>690</v>
      </c>
      <c r="M89" t="s">
        <v>185</v>
      </c>
      <c r="N89" s="40" t="s">
        <v>186</v>
      </c>
      <c r="O89" t="s">
        <v>44</v>
      </c>
    </row>
    <row r="90" spans="1:15">
      <c r="A90" s="12">
        <f>ROW() - ROW(Table1[[#Headers],[SL No.]])</f>
        <v>89</v>
      </c>
      <c r="B90" s="17" t="s">
        <v>1</v>
      </c>
      <c r="C90" s="45" t="s">
        <v>13</v>
      </c>
      <c r="D90" s="1" t="s">
        <v>691</v>
      </c>
      <c r="E90" s="19" t="s">
        <v>692</v>
      </c>
      <c r="F90" s="15">
        <v>46061</v>
      </c>
      <c r="H90" s="4"/>
      <c r="I90" t="s">
        <v>39</v>
      </c>
      <c r="K90" s="20">
        <v>400</v>
      </c>
      <c r="L90" t="s">
        <v>614</v>
      </c>
      <c r="M90" t="s">
        <v>185</v>
      </c>
      <c r="N90" s="40" t="s">
        <v>186</v>
      </c>
      <c r="O90" t="s">
        <v>44</v>
      </c>
    </row>
    <row r="91" spans="1:15">
      <c r="A91" s="12">
        <f>ROW() - ROW(Table1[[#Headers],[SL No.]])</f>
        <v>90</v>
      </c>
      <c r="B91" s="17" t="s">
        <v>9</v>
      </c>
      <c r="C91" s="45" t="s">
        <v>693</v>
      </c>
      <c r="D91" s="1" t="s">
        <v>694</v>
      </c>
      <c r="E91" s="19" t="s">
        <v>695</v>
      </c>
      <c r="F91" s="15">
        <v>46061</v>
      </c>
      <c r="H91" s="4"/>
      <c r="I91" t="s">
        <v>39</v>
      </c>
      <c r="K91" s="20">
        <v>400</v>
      </c>
      <c r="L91" t="s">
        <v>614</v>
      </c>
      <c r="M91" t="s">
        <v>185</v>
      </c>
      <c r="N91" s="40" t="s">
        <v>186</v>
      </c>
      <c r="O91" t="s">
        <v>44</v>
      </c>
    </row>
    <row r="92" spans="1:15">
      <c r="A92" s="12">
        <f>ROW() - ROW(Table1[[#Headers],[SL No.]])</f>
        <v>91</v>
      </c>
      <c r="B92" s="17" t="s">
        <v>6</v>
      </c>
      <c r="C92" s="45" t="s">
        <v>696</v>
      </c>
      <c r="D92" s="1" t="s">
        <v>697</v>
      </c>
      <c r="E92" s="19">
        <v>981003028</v>
      </c>
      <c r="F92" s="15">
        <v>46061</v>
      </c>
      <c r="H92" s="4"/>
      <c r="I92" t="s">
        <v>39</v>
      </c>
      <c r="J92" t="s">
        <v>40</v>
      </c>
      <c r="K92" s="20">
        <v>550</v>
      </c>
      <c r="L92" t="s">
        <v>614</v>
      </c>
      <c r="M92" t="s">
        <v>185</v>
      </c>
      <c r="N92" s="40" t="s">
        <v>186</v>
      </c>
      <c r="O92" t="s">
        <v>44</v>
      </c>
    </row>
    <row r="93" spans="1:15">
      <c r="A93" s="12">
        <f>ROW() - ROW(Table1[[#Headers],[SL No.]])</f>
        <v>92</v>
      </c>
      <c r="B93" s="17" t="s">
        <v>1</v>
      </c>
      <c r="C93" s="45" t="s">
        <v>698</v>
      </c>
      <c r="D93" s="1" t="s">
        <v>699</v>
      </c>
      <c r="E93" s="19" t="s">
        <v>700</v>
      </c>
      <c r="F93" s="15">
        <v>46061</v>
      </c>
      <c r="H93" s="4"/>
      <c r="I93" t="s">
        <v>39</v>
      </c>
      <c r="K93" s="20">
        <v>400</v>
      </c>
      <c r="L93" t="s">
        <v>614</v>
      </c>
      <c r="M93" t="s">
        <v>185</v>
      </c>
      <c r="N93" s="40" t="s">
        <v>186</v>
      </c>
      <c r="O93" t="s">
        <v>44</v>
      </c>
    </row>
    <row r="94" spans="1:15">
      <c r="A94" s="12">
        <f>ROW() - ROW(Table1[[#Headers],[SL No.]])</f>
        <v>93</v>
      </c>
      <c r="B94" s="17" t="s">
        <v>6</v>
      </c>
      <c r="C94" s="45" t="s">
        <v>701</v>
      </c>
      <c r="D94" s="1" t="s">
        <v>702</v>
      </c>
      <c r="E94" s="19">
        <v>871003260</v>
      </c>
      <c r="F94" s="15">
        <v>46078</v>
      </c>
      <c r="H94" s="4"/>
      <c r="I94" t="s">
        <v>39</v>
      </c>
      <c r="K94" s="20">
        <v>1000</v>
      </c>
      <c r="L94" t="s">
        <v>703</v>
      </c>
      <c r="M94" t="s">
        <v>185</v>
      </c>
      <c r="N94" s="40" t="s">
        <v>186</v>
      </c>
      <c r="O94" t="s">
        <v>44</v>
      </c>
    </row>
    <row r="95" spans="1:15">
      <c r="A95" s="12">
        <f>ROW() - ROW(Table1[[#Headers],[SL No.]])</f>
        <v>94</v>
      </c>
      <c r="B95" s="17" t="s">
        <v>1</v>
      </c>
      <c r="C95" s="45" t="s">
        <v>704</v>
      </c>
      <c r="D95" s="1" t="s">
        <v>705</v>
      </c>
      <c r="E95" s="19">
        <v>981202241</v>
      </c>
      <c r="F95" s="15">
        <v>46068</v>
      </c>
      <c r="G95" t="s">
        <v>38</v>
      </c>
      <c r="H95" s="4" t="s">
        <v>38</v>
      </c>
      <c r="I95" t="s">
        <v>39</v>
      </c>
      <c r="J95" t="s">
        <v>40</v>
      </c>
      <c r="K95" s="20">
        <v>400</v>
      </c>
      <c r="L95" t="s">
        <v>678</v>
      </c>
      <c r="M95" t="s">
        <v>185</v>
      </c>
      <c r="N95" s="40" t="s">
        <v>186</v>
      </c>
      <c r="O95" t="s">
        <v>44</v>
      </c>
    </row>
    <row r="96" spans="1:15">
      <c r="A96" s="12">
        <f>ROW() - ROW(Table1[[#Headers],[SL No.]])</f>
        <v>95</v>
      </c>
      <c r="B96" s="17" t="s">
        <v>6</v>
      </c>
      <c r="C96" s="45" t="s">
        <v>706</v>
      </c>
      <c r="D96" s="1" t="s">
        <v>707</v>
      </c>
      <c r="E96" s="19">
        <v>890304890</v>
      </c>
      <c r="F96" s="15">
        <v>46070</v>
      </c>
      <c r="G96" t="s">
        <v>38</v>
      </c>
      <c r="H96" s="4" t="s">
        <v>38</v>
      </c>
      <c r="I96" t="s">
        <v>39</v>
      </c>
      <c r="J96" t="s">
        <v>40</v>
      </c>
      <c r="K96" s="20">
        <v>450</v>
      </c>
      <c r="L96" t="s">
        <v>674</v>
      </c>
      <c r="M96" t="s">
        <v>185</v>
      </c>
      <c r="N96" s="40" t="s">
        <v>186</v>
      </c>
      <c r="O96" t="s">
        <v>44</v>
      </c>
    </row>
    <row r="97" spans="1:16">
      <c r="A97" s="12">
        <f>ROW() - ROW(Table1[[#Headers],[SL No.]])</f>
        <v>96</v>
      </c>
      <c r="B97" s="17" t="s">
        <v>9</v>
      </c>
      <c r="C97" s="45" t="s">
        <v>708</v>
      </c>
      <c r="D97" s="1" t="s">
        <v>709</v>
      </c>
      <c r="E97" s="19">
        <v>970604041</v>
      </c>
      <c r="F97" s="15">
        <v>46124</v>
      </c>
      <c r="H97" s="4"/>
      <c r="I97" t="s">
        <v>39</v>
      </c>
      <c r="K97" s="20">
        <v>350</v>
      </c>
      <c r="L97" t="s">
        <v>464</v>
      </c>
      <c r="M97" t="s">
        <v>710</v>
      </c>
      <c r="N97" s="40" t="s">
        <v>711</v>
      </c>
      <c r="O97" t="s">
        <v>44</v>
      </c>
    </row>
    <row r="98" spans="1:16">
      <c r="A98" s="12">
        <f>ROW() - ROW(Table1[[#Headers],[SL No.]])</f>
        <v>97</v>
      </c>
      <c r="B98" s="17" t="s">
        <v>10</v>
      </c>
      <c r="C98" s="1" t="s">
        <v>187</v>
      </c>
      <c r="D98" s="24" t="s">
        <v>188</v>
      </c>
      <c r="E98" s="19" t="s">
        <v>189</v>
      </c>
      <c r="F98" s="15">
        <v>45931</v>
      </c>
      <c r="H98" s="4"/>
      <c r="I98" t="s">
        <v>39</v>
      </c>
      <c r="J98" t="s">
        <v>49</v>
      </c>
      <c r="K98" s="20">
        <v>500</v>
      </c>
      <c r="L98" t="s">
        <v>190</v>
      </c>
      <c r="M98" t="s">
        <v>191</v>
      </c>
      <c r="N98" t="s">
        <v>192</v>
      </c>
      <c r="O98" t="s">
        <v>44</v>
      </c>
      <c r="P98" t="s">
        <v>193</v>
      </c>
    </row>
    <row r="99" spans="1:16">
      <c r="A99" s="12">
        <f>ROW() - ROW(Table1[[#Headers],[SL No.]])</f>
        <v>98</v>
      </c>
      <c r="B99" s="17" t="s">
        <v>10</v>
      </c>
      <c r="C99" s="1" t="s">
        <v>194</v>
      </c>
      <c r="D99" s="1" t="s">
        <v>195</v>
      </c>
      <c r="E99" s="47">
        <v>890201641</v>
      </c>
      <c r="F99" s="15">
        <v>45935</v>
      </c>
      <c r="G99" t="s">
        <v>38</v>
      </c>
      <c r="H99" s="4"/>
      <c r="I99" t="s">
        <v>39</v>
      </c>
      <c r="J99" t="s">
        <v>40</v>
      </c>
      <c r="K99" s="20">
        <v>350</v>
      </c>
      <c r="L99" t="s">
        <v>196</v>
      </c>
      <c r="M99" t="s">
        <v>197</v>
      </c>
      <c r="N99" t="s">
        <v>198</v>
      </c>
      <c r="O99" t="s">
        <v>44</v>
      </c>
      <c r="P99" t="s">
        <v>193</v>
      </c>
    </row>
    <row r="100" spans="1:16">
      <c r="A100" s="12">
        <f>ROW() - ROW(Table1[[#Headers],[SL No.]])</f>
        <v>99</v>
      </c>
      <c r="B100" s="17" t="s">
        <v>10</v>
      </c>
      <c r="C100" s="1" t="s">
        <v>199</v>
      </c>
      <c r="D100" s="24" t="s">
        <v>200</v>
      </c>
      <c r="E100" s="19" t="s">
        <v>201</v>
      </c>
      <c r="F100" s="15">
        <v>45939</v>
      </c>
      <c r="G100" t="s">
        <v>38</v>
      </c>
      <c r="H100" s="4"/>
      <c r="I100" t="s">
        <v>39</v>
      </c>
      <c r="J100" t="s">
        <v>40</v>
      </c>
      <c r="K100" s="20">
        <v>420</v>
      </c>
      <c r="L100" t="s">
        <v>202</v>
      </c>
      <c r="M100" t="s">
        <v>51</v>
      </c>
      <c r="N100" t="s">
        <v>52</v>
      </c>
      <c r="O100" t="s">
        <v>44</v>
      </c>
      <c r="P100" s="39" t="s">
        <v>203</v>
      </c>
    </row>
    <row r="101" spans="1:16">
      <c r="A101" s="12">
        <f>ROW() - ROW(Table1[[#Headers],[SL No.]])</f>
        <v>100</v>
      </c>
      <c r="B101" s="17" t="s">
        <v>10</v>
      </c>
      <c r="C101" s="1" t="s">
        <v>204</v>
      </c>
      <c r="D101" s="1" t="s">
        <v>205</v>
      </c>
      <c r="E101" s="19" t="s">
        <v>206</v>
      </c>
      <c r="F101" s="15">
        <v>45942</v>
      </c>
      <c r="G101" t="s">
        <v>38</v>
      </c>
      <c r="H101" s="4"/>
      <c r="I101" t="s">
        <v>39</v>
      </c>
      <c r="J101" t="s">
        <v>49</v>
      </c>
      <c r="K101" s="20">
        <v>500</v>
      </c>
      <c r="L101" t="s">
        <v>207</v>
      </c>
      <c r="M101" t="s">
        <v>208</v>
      </c>
      <c r="N101" t="s">
        <v>209</v>
      </c>
      <c r="O101" t="s">
        <v>44</v>
      </c>
      <c r="P101" t="s">
        <v>193</v>
      </c>
    </row>
    <row r="102" spans="1:16">
      <c r="A102" s="12">
        <f>ROW() - ROW(Table1[[#Headers],[SL No.]])</f>
        <v>101</v>
      </c>
      <c r="B102" s="17" t="s">
        <v>10</v>
      </c>
      <c r="C102" s="1" t="s">
        <v>210</v>
      </c>
      <c r="D102" s="1" t="s">
        <v>211</v>
      </c>
      <c r="E102" s="47">
        <v>990102378</v>
      </c>
      <c r="F102" s="15">
        <v>45942</v>
      </c>
      <c r="H102" s="4"/>
      <c r="I102" t="s">
        <v>39</v>
      </c>
      <c r="J102" t="s">
        <v>49</v>
      </c>
      <c r="K102" s="20">
        <v>850</v>
      </c>
      <c r="L102" t="s">
        <v>212</v>
      </c>
      <c r="M102" t="s">
        <v>146</v>
      </c>
      <c r="N102" t="s">
        <v>213</v>
      </c>
      <c r="O102" t="s">
        <v>44</v>
      </c>
      <c r="P102" s="39" t="s">
        <v>203</v>
      </c>
    </row>
    <row r="103" spans="1:16">
      <c r="A103" s="12">
        <f>ROW() - ROW(Table1[[#Headers],[SL No.]])</f>
        <v>102</v>
      </c>
      <c r="B103" s="17" t="s">
        <v>10</v>
      </c>
      <c r="C103" s="1" t="s">
        <v>214</v>
      </c>
      <c r="D103" s="40" t="s">
        <v>215</v>
      </c>
      <c r="E103" s="19" t="s">
        <v>216</v>
      </c>
      <c r="F103" s="15">
        <v>45931</v>
      </c>
      <c r="G103" t="s">
        <v>38</v>
      </c>
      <c r="H103" s="4" t="s">
        <v>38</v>
      </c>
      <c r="I103" t="s">
        <v>39</v>
      </c>
      <c r="J103" t="s">
        <v>49</v>
      </c>
      <c r="K103" s="20">
        <v>500</v>
      </c>
      <c r="L103" t="s">
        <v>217</v>
      </c>
      <c r="M103" t="s">
        <v>191</v>
      </c>
      <c r="O103" t="s">
        <v>44</v>
      </c>
      <c r="P103" t="s">
        <v>193</v>
      </c>
    </row>
    <row r="104" spans="1:16">
      <c r="A104" s="12">
        <f>ROW() - ROW(Table1[[#Headers],[SL No.]])</f>
        <v>103</v>
      </c>
      <c r="B104" s="17" t="s">
        <v>10</v>
      </c>
      <c r="C104" s="1" t="s">
        <v>218</v>
      </c>
      <c r="D104" s="24" t="s">
        <v>219</v>
      </c>
      <c r="E104" s="19" t="s">
        <v>220</v>
      </c>
      <c r="F104" s="15">
        <v>45760</v>
      </c>
      <c r="H104" s="4"/>
      <c r="I104" t="s">
        <v>39</v>
      </c>
      <c r="J104" t="s">
        <v>49</v>
      </c>
      <c r="K104" s="20">
        <v>500</v>
      </c>
      <c r="L104" t="s">
        <v>221</v>
      </c>
      <c r="M104" t="s">
        <v>135</v>
      </c>
      <c r="N104" t="s">
        <v>222</v>
      </c>
      <c r="O104" t="s">
        <v>44</v>
      </c>
      <c r="P104" t="s">
        <v>223</v>
      </c>
    </row>
    <row r="105" spans="1:16">
      <c r="A105" s="12">
        <f>ROW() - ROW(Table1[[#Headers],[SL No.]])</f>
        <v>104</v>
      </c>
      <c r="B105" s="17" t="s">
        <v>12</v>
      </c>
      <c r="C105" s="48" t="s">
        <v>712</v>
      </c>
      <c r="D105" s="24" t="s">
        <v>713</v>
      </c>
      <c r="E105" s="19" t="s">
        <v>714</v>
      </c>
      <c r="F105" s="15">
        <v>46113</v>
      </c>
      <c r="H105" s="4"/>
      <c r="I105" t="s">
        <v>56</v>
      </c>
      <c r="J105" t="s">
        <v>49</v>
      </c>
      <c r="K105" s="20">
        <v>550</v>
      </c>
      <c r="L105" t="s">
        <v>625</v>
      </c>
      <c r="M105" t="s">
        <v>626</v>
      </c>
      <c r="N105" t="s">
        <v>627</v>
      </c>
      <c r="O105" t="s">
        <v>44</v>
      </c>
    </row>
    <row r="106" spans="1:16">
      <c r="A106" s="12">
        <f>ROW() - ROW(Table1[[#Headers],[SL No.]])</f>
        <v>105</v>
      </c>
      <c r="B106" s="17" t="s">
        <v>10</v>
      </c>
      <c r="C106" s="1" t="s">
        <v>224</v>
      </c>
      <c r="D106" s="24" t="s">
        <v>225</v>
      </c>
      <c r="E106" s="47">
        <v>980903750</v>
      </c>
      <c r="F106" s="15">
        <v>45763</v>
      </c>
      <c r="G106" t="s">
        <v>38</v>
      </c>
      <c r="H106" s="4"/>
      <c r="I106" t="s">
        <v>39</v>
      </c>
      <c r="J106" t="s">
        <v>49</v>
      </c>
      <c r="K106" s="20">
        <v>500</v>
      </c>
      <c r="L106" t="s">
        <v>226</v>
      </c>
      <c r="M106" t="s">
        <v>135</v>
      </c>
      <c r="N106" t="s">
        <v>222</v>
      </c>
      <c r="O106" t="s">
        <v>44</v>
      </c>
      <c r="P106" t="s">
        <v>223</v>
      </c>
    </row>
    <row r="107" spans="1:16">
      <c r="A107" s="12">
        <f>ROW() - ROW(Table1[[#Headers],[SL No.]])</f>
        <v>106</v>
      </c>
      <c r="B107" s="17" t="s">
        <v>10</v>
      </c>
      <c r="C107" s="1" t="s">
        <v>227</v>
      </c>
      <c r="D107" s="24" t="s">
        <v>228</v>
      </c>
      <c r="E107" s="19" t="s">
        <v>229</v>
      </c>
      <c r="F107" s="15">
        <v>45741</v>
      </c>
      <c r="H107" s="4"/>
      <c r="I107" t="s">
        <v>39</v>
      </c>
      <c r="J107" t="s">
        <v>40</v>
      </c>
      <c r="K107" s="20">
        <v>350</v>
      </c>
      <c r="L107" t="s">
        <v>230</v>
      </c>
      <c r="M107" t="s">
        <v>231</v>
      </c>
      <c r="N107" t="s">
        <v>232</v>
      </c>
      <c r="O107" t="s">
        <v>44</v>
      </c>
      <c r="P107" t="s">
        <v>223</v>
      </c>
    </row>
    <row r="108" spans="1:16">
      <c r="A108" s="12">
        <f>ROW() - ROW(Table1[[#Headers],[SL No.]])</f>
        <v>107</v>
      </c>
      <c r="B108" s="17" t="s">
        <v>10</v>
      </c>
      <c r="C108" s="17" t="s">
        <v>233</v>
      </c>
      <c r="D108" s="17" t="s">
        <v>234</v>
      </c>
      <c r="E108" s="19" t="s">
        <v>235</v>
      </c>
      <c r="F108" s="15">
        <v>45751</v>
      </c>
      <c r="H108" s="4"/>
      <c r="I108" t="s">
        <v>56</v>
      </c>
      <c r="J108" t="s">
        <v>49</v>
      </c>
      <c r="K108" s="20">
        <v>820</v>
      </c>
      <c r="L108" t="s">
        <v>236</v>
      </c>
      <c r="M108" t="s">
        <v>237</v>
      </c>
      <c r="N108" t="s">
        <v>238</v>
      </c>
      <c r="O108" t="s">
        <v>44</v>
      </c>
      <c r="P108" t="s">
        <v>223</v>
      </c>
    </row>
    <row r="109" spans="1:16">
      <c r="A109" s="12">
        <f>ROW() - ROW(Table1[[#Headers],[SL No.]])</f>
        <v>108</v>
      </c>
      <c r="B109" s="17" t="s">
        <v>10</v>
      </c>
      <c r="C109" s="17" t="s">
        <v>239</v>
      </c>
      <c r="D109" s="17" t="s">
        <v>240</v>
      </c>
      <c r="E109" s="19" t="s">
        <v>241</v>
      </c>
      <c r="F109" s="15">
        <v>45767</v>
      </c>
      <c r="H109" s="4"/>
      <c r="I109" t="s">
        <v>39</v>
      </c>
      <c r="J109" t="s">
        <v>49</v>
      </c>
      <c r="K109" s="20">
        <v>700</v>
      </c>
      <c r="L109" s="52" t="s">
        <v>242</v>
      </c>
      <c r="M109" t="s">
        <v>243</v>
      </c>
      <c r="N109" t="s">
        <v>244</v>
      </c>
      <c r="O109" t="s">
        <v>44</v>
      </c>
      <c r="P109" t="s">
        <v>223</v>
      </c>
    </row>
    <row r="110" spans="1:16">
      <c r="A110" s="12">
        <f>ROW() - ROW(Table1[[#Headers],[SL No.]])</f>
        <v>109</v>
      </c>
      <c r="B110" s="17" t="s">
        <v>1</v>
      </c>
      <c r="C110" s="17" t="s">
        <v>245</v>
      </c>
      <c r="D110" s="1" t="s">
        <v>1181</v>
      </c>
      <c r="E110" s="19"/>
      <c r="F110" s="15">
        <v>45931</v>
      </c>
      <c r="H110" s="4"/>
      <c r="K110" s="20"/>
    </row>
    <row r="111" spans="1:16">
      <c r="A111" s="12">
        <f>ROW() - ROW(Table1[[#Headers],[SL No.]])</f>
        <v>110</v>
      </c>
      <c r="B111" s="17" t="s">
        <v>12</v>
      </c>
      <c r="C111" s="17" t="s">
        <v>246</v>
      </c>
      <c r="D111" s="1" t="s">
        <v>1181</v>
      </c>
      <c r="E111" s="19"/>
      <c r="F111" s="15">
        <v>45719</v>
      </c>
      <c r="H111" s="4"/>
      <c r="K111" s="20"/>
    </row>
    <row r="112" spans="1:16">
      <c r="A112" s="12">
        <f>ROW() - ROW(Table1[[#Headers],[SL No.]])</f>
        <v>111</v>
      </c>
      <c r="B112" s="17" t="s">
        <v>12</v>
      </c>
      <c r="C112" s="17" t="s">
        <v>252</v>
      </c>
      <c r="D112" s="1" t="s">
        <v>1181</v>
      </c>
      <c r="E112" s="19"/>
      <c r="F112" s="15">
        <v>45735</v>
      </c>
      <c r="H112" s="4"/>
      <c r="K112" s="20"/>
    </row>
    <row r="113" spans="1:15">
      <c r="A113" s="12">
        <f>ROW() - ROW(Table1[[#Headers],[SL No.]])</f>
        <v>112</v>
      </c>
      <c r="B113" s="17" t="s">
        <v>12</v>
      </c>
      <c r="C113" s="17" t="s">
        <v>258</v>
      </c>
      <c r="D113" s="1" t="s">
        <v>1181</v>
      </c>
      <c r="E113" s="19"/>
      <c r="F113" s="15">
        <v>45741</v>
      </c>
      <c r="H113" s="4"/>
      <c r="K113" s="20"/>
    </row>
    <row r="114" spans="1:15">
      <c r="A114" s="12">
        <f>ROW() - ROW(Table1[[#Headers],[SL No.]])</f>
        <v>113</v>
      </c>
      <c r="B114" s="17" t="s">
        <v>12</v>
      </c>
      <c r="C114" s="17" t="s">
        <v>264</v>
      </c>
      <c r="D114" s="1" t="s">
        <v>1181</v>
      </c>
      <c r="E114" s="19"/>
      <c r="F114" s="15">
        <v>45863</v>
      </c>
      <c r="H114" s="4"/>
      <c r="K114" s="20"/>
    </row>
    <row r="115" spans="1:15">
      <c r="A115" s="12">
        <f>ROW() - ROW(Table1[[#Headers],[SL No.]])</f>
        <v>114</v>
      </c>
      <c r="B115" s="17" t="s">
        <v>1</v>
      </c>
      <c r="C115" s="17" t="s">
        <v>15</v>
      </c>
      <c r="D115" s="1" t="s">
        <v>1181</v>
      </c>
      <c r="E115" s="19"/>
      <c r="F115" s="15">
        <v>45710</v>
      </c>
      <c r="H115" s="4"/>
      <c r="K115" s="20"/>
    </row>
    <row r="116" spans="1:15">
      <c r="A116" s="12">
        <f>ROW() - ROW(Table1[[#Headers],[SL No.]])</f>
        <v>115</v>
      </c>
      <c r="B116" s="17" t="s">
        <v>1</v>
      </c>
      <c r="C116" s="17" t="s">
        <v>17</v>
      </c>
      <c r="D116" s="1" t="s">
        <v>1181</v>
      </c>
      <c r="E116" s="19"/>
      <c r="F116" s="15">
        <v>45760</v>
      </c>
      <c r="H116" s="4"/>
      <c r="K116" s="20"/>
    </row>
    <row r="117" spans="1:15">
      <c r="A117" s="12">
        <f>ROW() - ROW(Table1[[#Headers],[SL No.]])</f>
        <v>116</v>
      </c>
      <c r="B117" s="17" t="s">
        <v>12</v>
      </c>
      <c r="C117" s="17" t="s">
        <v>270</v>
      </c>
      <c r="D117" s="1" t="s">
        <v>1181</v>
      </c>
      <c r="E117" s="19"/>
      <c r="F117" s="15">
        <v>45886</v>
      </c>
      <c r="H117" s="4"/>
      <c r="K117" s="20"/>
    </row>
    <row r="118" spans="1:15">
      <c r="A118" s="12">
        <f>ROW() - ROW(Table1[[#Headers],[SL No.]])</f>
        <v>117</v>
      </c>
      <c r="B118" s="17" t="s">
        <v>12</v>
      </c>
      <c r="C118" s="17" t="s">
        <v>276</v>
      </c>
      <c r="D118" s="1" t="s">
        <v>1181</v>
      </c>
      <c r="E118" s="19"/>
      <c r="F118" s="15">
        <v>45881</v>
      </c>
      <c r="H118" s="4"/>
      <c r="K118" s="20"/>
    </row>
    <row r="119" spans="1:15">
      <c r="A119" s="12">
        <f>ROW() - ROW(Table1[[#Headers],[SL No.]])</f>
        <v>118</v>
      </c>
      <c r="B119" s="17" t="s">
        <v>12</v>
      </c>
      <c r="C119" s="17" t="s">
        <v>280</v>
      </c>
      <c r="D119" s="1" t="s">
        <v>1181</v>
      </c>
      <c r="E119" s="19"/>
      <c r="F119" s="15">
        <v>45902</v>
      </c>
      <c r="H119" s="4"/>
      <c r="K119" s="20"/>
    </row>
    <row r="120" spans="1:15">
      <c r="A120" s="12">
        <f>ROW() - ROW(Table1[[#Headers],[SL No.]])</f>
        <v>119</v>
      </c>
      <c r="B120" s="17" t="s">
        <v>1</v>
      </c>
      <c r="C120" s="17" t="s">
        <v>18</v>
      </c>
      <c r="D120" s="1" t="s">
        <v>1181</v>
      </c>
      <c r="E120" s="19"/>
      <c r="F120" s="15">
        <v>45761</v>
      </c>
      <c r="H120" s="4"/>
      <c r="K120" s="20"/>
    </row>
    <row r="121" spans="1:15">
      <c r="A121" s="12">
        <f>ROW() - ROW(Table1[[#Headers],[SL No.]])</f>
        <v>120</v>
      </c>
      <c r="B121" s="17" t="s">
        <v>1</v>
      </c>
      <c r="C121" s="17" t="s">
        <v>19</v>
      </c>
      <c r="D121" s="1" t="s">
        <v>1181</v>
      </c>
      <c r="E121" s="19"/>
      <c r="F121" s="15">
        <v>45634</v>
      </c>
      <c r="H121" s="4"/>
      <c r="K121" s="20"/>
    </row>
    <row r="122" spans="1:15">
      <c r="A122" s="12">
        <f>ROW() - ROW(Table1[[#Headers],[SL No.]])</f>
        <v>121</v>
      </c>
      <c r="B122" s="17" t="s">
        <v>12</v>
      </c>
      <c r="C122" s="17" t="s">
        <v>286</v>
      </c>
      <c r="D122" s="1" t="s">
        <v>1181</v>
      </c>
      <c r="E122" s="19"/>
      <c r="F122" s="15">
        <v>45921</v>
      </c>
      <c r="H122" s="4"/>
      <c r="K122" s="20"/>
    </row>
    <row r="123" spans="1:15">
      <c r="A123" s="12">
        <f>ROW() - ROW(Table1[[#Headers],[SL No.]])</f>
        <v>122</v>
      </c>
      <c r="B123" s="17" t="s">
        <v>9</v>
      </c>
      <c r="C123" s="1" t="s">
        <v>290</v>
      </c>
      <c r="D123" s="2" t="s">
        <v>291</v>
      </c>
      <c r="E123" s="36">
        <v>950405051</v>
      </c>
      <c r="F123" s="15">
        <v>45819</v>
      </c>
      <c r="G123" t="s">
        <v>38</v>
      </c>
      <c r="H123" s="4" t="s">
        <v>38</v>
      </c>
      <c r="I123" t="s">
        <v>39</v>
      </c>
      <c r="J123" t="s">
        <v>40</v>
      </c>
      <c r="K123" s="20"/>
      <c r="M123" t="s">
        <v>292</v>
      </c>
      <c r="N123" s="55" t="s">
        <v>182</v>
      </c>
      <c r="O123" t="s">
        <v>44</v>
      </c>
    </row>
    <row r="124" spans="1:15">
      <c r="A124" s="12">
        <f>ROW() - ROW(Table1[[#Headers],[SL No.]])</f>
        <v>123</v>
      </c>
      <c r="B124" s="17" t="s">
        <v>9</v>
      </c>
      <c r="C124" s="1" t="s">
        <v>147</v>
      </c>
      <c r="D124" s="2" t="s">
        <v>293</v>
      </c>
      <c r="E124" s="36">
        <v>10306587</v>
      </c>
      <c r="F124" s="15">
        <v>45921</v>
      </c>
      <c r="G124" t="s">
        <v>38</v>
      </c>
      <c r="H124" s="4" t="s">
        <v>38</v>
      </c>
      <c r="I124" t="s">
        <v>39</v>
      </c>
      <c r="J124" t="s">
        <v>49</v>
      </c>
      <c r="K124" s="20">
        <v>378</v>
      </c>
      <c r="L124" t="s">
        <v>294</v>
      </c>
      <c r="M124" t="s">
        <v>149</v>
      </c>
      <c r="N124" s="55" t="s">
        <v>150</v>
      </c>
      <c r="O124" t="s">
        <v>44</v>
      </c>
    </row>
    <row r="125" spans="1:15">
      <c r="A125" s="12">
        <f>ROW() - ROW(Table1[[#Headers],[SL No.]])</f>
        <v>124</v>
      </c>
      <c r="B125" s="17" t="s">
        <v>9</v>
      </c>
      <c r="C125" s="1" t="s">
        <v>295</v>
      </c>
      <c r="D125" s="2" t="s">
        <v>296</v>
      </c>
      <c r="E125" s="36">
        <v>21106398</v>
      </c>
      <c r="F125" s="15">
        <v>45939</v>
      </c>
      <c r="G125" t="s">
        <v>38</v>
      </c>
      <c r="H125" s="4" t="s">
        <v>38</v>
      </c>
      <c r="I125" t="s">
        <v>56</v>
      </c>
      <c r="J125" t="s">
        <v>49</v>
      </c>
      <c r="K125" s="20">
        <v>500</v>
      </c>
      <c r="M125" t="s">
        <v>297</v>
      </c>
      <c r="N125" s="56" t="s">
        <v>298</v>
      </c>
      <c r="O125" t="s">
        <v>44</v>
      </c>
    </row>
    <row r="126" spans="1:15">
      <c r="A126" s="12">
        <f>ROW() - ROW(Table1[[#Headers],[SL No.]])</f>
        <v>125</v>
      </c>
      <c r="B126" s="17" t="s">
        <v>715</v>
      </c>
      <c r="C126" s="1" t="s">
        <v>716</v>
      </c>
      <c r="D126" s="2" t="s">
        <v>717</v>
      </c>
      <c r="E126" s="19" t="s">
        <v>718</v>
      </c>
      <c r="F126" s="15">
        <v>46316</v>
      </c>
      <c r="G126" t="s">
        <v>38</v>
      </c>
      <c r="H126" s="4" t="s">
        <v>38</v>
      </c>
      <c r="I126" t="s">
        <v>39</v>
      </c>
      <c r="K126" s="20">
        <v>550</v>
      </c>
      <c r="L126" s="57" t="s">
        <v>719</v>
      </c>
      <c r="M126" t="s">
        <v>720</v>
      </c>
      <c r="N126" t="s">
        <v>721</v>
      </c>
      <c r="O126" t="s">
        <v>44</v>
      </c>
    </row>
    <row r="127" spans="1:15">
      <c r="A127" s="12">
        <f>ROW() - ROW(Table1[[#Headers],[SL No.]])</f>
        <v>126</v>
      </c>
      <c r="B127" s="17" t="s">
        <v>9</v>
      </c>
      <c r="C127" s="37" t="s">
        <v>299</v>
      </c>
      <c r="D127" s="58" t="s">
        <v>300</v>
      </c>
      <c r="E127" s="36">
        <v>890300763</v>
      </c>
      <c r="F127" s="15">
        <v>46316</v>
      </c>
      <c r="G127" t="s">
        <v>38</v>
      </c>
      <c r="H127" s="4" t="s">
        <v>38</v>
      </c>
      <c r="I127" t="s">
        <v>39</v>
      </c>
      <c r="J127" t="s">
        <v>49</v>
      </c>
      <c r="K127" s="20">
        <v>850</v>
      </c>
      <c r="L127" t="s">
        <v>302</v>
      </c>
      <c r="M127" t="s">
        <v>256</v>
      </c>
      <c r="N127" t="s">
        <v>257</v>
      </c>
      <c r="O127" t="s">
        <v>44</v>
      </c>
    </row>
    <row r="128" spans="1:15">
      <c r="A128" s="12">
        <f>ROW() - ROW(Table1[[#Headers],[SL No.]])</f>
        <v>127</v>
      </c>
      <c r="B128" s="17" t="s">
        <v>9</v>
      </c>
      <c r="C128" t="s">
        <v>303</v>
      </c>
      <c r="D128" s="59" t="s">
        <v>304</v>
      </c>
      <c r="E128" s="36">
        <v>810712660</v>
      </c>
      <c r="F128" s="15">
        <v>45931</v>
      </c>
      <c r="G128" t="s">
        <v>38</v>
      </c>
      <c r="H128" s="4" t="s">
        <v>38</v>
      </c>
      <c r="I128" t="s">
        <v>56</v>
      </c>
      <c r="J128" t="s">
        <v>40</v>
      </c>
      <c r="K128" s="20">
        <v>400</v>
      </c>
      <c r="L128" t="s">
        <v>305</v>
      </c>
      <c r="M128" t="s">
        <v>306</v>
      </c>
      <c r="N128" t="s">
        <v>307</v>
      </c>
      <c r="O128" t="s">
        <v>44</v>
      </c>
    </row>
    <row r="129" spans="1:16">
      <c r="A129" s="12">
        <f>ROW() - ROW(Table1[[#Headers],[SL No.]])</f>
        <v>128</v>
      </c>
      <c r="B129" s="17" t="s">
        <v>9</v>
      </c>
      <c r="C129" s="60" t="s">
        <v>308</v>
      </c>
      <c r="D129" s="36" t="s">
        <v>309</v>
      </c>
      <c r="E129" s="19" t="s">
        <v>310</v>
      </c>
      <c r="F129" s="15">
        <v>45942</v>
      </c>
      <c r="G129" t="s">
        <v>311</v>
      </c>
      <c r="H129" s="4" t="s">
        <v>311</v>
      </c>
      <c r="I129" t="s">
        <v>39</v>
      </c>
      <c r="J129" t="s">
        <v>49</v>
      </c>
      <c r="K129" s="20">
        <v>378</v>
      </c>
      <c r="L129" t="s">
        <v>294</v>
      </c>
      <c r="M129" t="s">
        <v>149</v>
      </c>
      <c r="N129" s="55" t="s">
        <v>150</v>
      </c>
      <c r="O129" t="s">
        <v>44</v>
      </c>
    </row>
    <row r="130" spans="1:16">
      <c r="A130" s="12">
        <f>ROW() - ROW(Table1[[#Headers],[SL No.]])</f>
        <v>129</v>
      </c>
      <c r="B130" s="17" t="s">
        <v>1</v>
      </c>
      <c r="C130" s="1" t="s">
        <v>722</v>
      </c>
      <c r="D130" s="63" t="s">
        <v>723</v>
      </c>
      <c r="E130" s="19" t="s">
        <v>724</v>
      </c>
      <c r="F130" s="43">
        <v>46110</v>
      </c>
      <c r="H130" s="4"/>
      <c r="I130" t="s">
        <v>39</v>
      </c>
      <c r="J130" t="s">
        <v>98</v>
      </c>
      <c r="K130" s="62">
        <v>550</v>
      </c>
      <c r="L130" s="61" t="s">
        <v>725</v>
      </c>
      <c r="M130" s="45" t="s">
        <v>185</v>
      </c>
      <c r="N130" s="45" t="s">
        <v>186</v>
      </c>
      <c r="O130" t="s">
        <v>44</v>
      </c>
    </row>
    <row r="131" spans="1:16">
      <c r="A131" s="12">
        <f>ROW() - ROW(Table1[[#Headers],[SL No.]])</f>
        <v>130</v>
      </c>
      <c r="B131" s="17" t="s">
        <v>9</v>
      </c>
      <c r="C131" s="1" t="s">
        <v>726</v>
      </c>
      <c r="D131" s="24" t="s">
        <v>727</v>
      </c>
      <c r="E131" s="19" t="s">
        <v>728</v>
      </c>
      <c r="F131" s="64">
        <v>46131</v>
      </c>
      <c r="G131" t="s">
        <v>38</v>
      </c>
      <c r="H131" s="4"/>
      <c r="I131" t="s">
        <v>39</v>
      </c>
      <c r="J131" t="s">
        <v>49</v>
      </c>
      <c r="K131" s="20">
        <v>500</v>
      </c>
      <c r="L131" t="s">
        <v>314</v>
      </c>
      <c r="M131" t="s">
        <v>124</v>
      </c>
      <c r="N131" t="s">
        <v>125</v>
      </c>
      <c r="O131" t="s">
        <v>44</v>
      </c>
    </row>
    <row r="132" spans="1:16">
      <c r="A132" s="12">
        <f>ROW() - ROW(Table1[[#Headers],[SL No.]])</f>
        <v>131</v>
      </c>
      <c r="B132" s="17" t="s">
        <v>312</v>
      </c>
      <c r="C132" s="1"/>
      <c r="D132" s="2"/>
      <c r="E132" s="19" t="s">
        <v>313</v>
      </c>
      <c r="F132" s="15" t="s">
        <v>301</v>
      </c>
      <c r="H132" s="4"/>
      <c r="I132" t="s">
        <v>39</v>
      </c>
      <c r="J132" t="s">
        <v>49</v>
      </c>
      <c r="K132" s="20"/>
      <c r="L132" t="s">
        <v>314</v>
      </c>
      <c r="M132" t="s">
        <v>124</v>
      </c>
      <c r="N132" t="s">
        <v>125</v>
      </c>
    </row>
    <row r="133" spans="1:16">
      <c r="A133" s="12">
        <f>ROW() - ROW(Table1[[#Headers],[SL No.]])</f>
        <v>132</v>
      </c>
      <c r="B133" s="17" t="s">
        <v>12</v>
      </c>
      <c r="C133" s="1" t="s">
        <v>637</v>
      </c>
      <c r="D133" s="63" t="s">
        <v>729</v>
      </c>
      <c r="E133" s="19" t="s">
        <v>639</v>
      </c>
      <c r="F133" s="15">
        <v>46117</v>
      </c>
      <c r="G133" t="s">
        <v>38</v>
      </c>
      <c r="H133" s="4"/>
      <c r="I133" t="s">
        <v>56</v>
      </c>
      <c r="J133" t="s">
        <v>49</v>
      </c>
      <c r="K133" s="20">
        <v>550</v>
      </c>
      <c r="L133" t="s">
        <v>730</v>
      </c>
      <c r="M133" t="s">
        <v>100</v>
      </c>
      <c r="N133" t="s">
        <v>101</v>
      </c>
      <c r="O133" t="s">
        <v>44</v>
      </c>
    </row>
    <row r="134" spans="1:16">
      <c r="A134" s="12">
        <f>ROW() - ROW(Table1[[#Headers],[SL No.]])</f>
        <v>133</v>
      </c>
      <c r="B134" s="17" t="s">
        <v>6</v>
      </c>
      <c r="C134" s="1" t="s">
        <v>315</v>
      </c>
      <c r="D134" s="66" t="s">
        <v>316</v>
      </c>
      <c r="E134" s="19" t="s">
        <v>317</v>
      </c>
      <c r="F134" s="15">
        <v>45769</v>
      </c>
      <c r="G134" t="s">
        <v>38</v>
      </c>
      <c r="H134" s="4" t="s">
        <v>38</v>
      </c>
      <c r="I134" t="s">
        <v>39</v>
      </c>
      <c r="J134" t="s">
        <v>40</v>
      </c>
      <c r="K134" s="20">
        <v>356</v>
      </c>
      <c r="L134" t="s">
        <v>318</v>
      </c>
      <c r="M134" t="s">
        <v>319</v>
      </c>
      <c r="N134" s="40" t="s">
        <v>320</v>
      </c>
      <c r="O134" t="s">
        <v>44</v>
      </c>
      <c r="P134" t="s">
        <v>223</v>
      </c>
    </row>
    <row r="135" spans="1:16">
      <c r="A135" s="12">
        <f>ROW() - ROW(Table1[[#Headers],[SL No.]])</f>
        <v>134</v>
      </c>
      <c r="B135" s="17" t="s">
        <v>9</v>
      </c>
      <c r="C135" s="67" t="s">
        <v>321</v>
      </c>
      <c r="D135" s="2" t="s">
        <v>322</v>
      </c>
      <c r="E135" s="19" t="s">
        <v>323</v>
      </c>
      <c r="F135" s="64">
        <v>46131</v>
      </c>
      <c r="G135" t="s">
        <v>38</v>
      </c>
      <c r="H135" s="4" t="s">
        <v>38</v>
      </c>
      <c r="I135" t="s">
        <v>39</v>
      </c>
      <c r="J135" t="s">
        <v>40</v>
      </c>
      <c r="K135" s="20">
        <v>475</v>
      </c>
      <c r="L135" t="s">
        <v>314</v>
      </c>
      <c r="M135" t="s">
        <v>124</v>
      </c>
      <c r="N135" t="s">
        <v>125</v>
      </c>
      <c r="O135" t="s">
        <v>44</v>
      </c>
    </row>
    <row r="136" spans="1:16">
      <c r="A136" s="12">
        <f>ROW() - ROW(Table1[[#Headers],[SL No.]])</f>
        <v>135</v>
      </c>
      <c r="B136" s="17" t="s">
        <v>6</v>
      </c>
      <c r="C136" t="s">
        <v>13</v>
      </c>
      <c r="D136" s="53" t="s">
        <v>691</v>
      </c>
      <c r="E136" s="19" t="s">
        <v>692</v>
      </c>
      <c r="F136" s="43">
        <v>46061</v>
      </c>
      <c r="G136" t="s">
        <v>38</v>
      </c>
      <c r="H136" s="4"/>
      <c r="I136" t="s">
        <v>39</v>
      </c>
      <c r="J136" t="s">
        <v>40</v>
      </c>
      <c r="K136" s="20">
        <v>400</v>
      </c>
      <c r="L136" s="61" t="s">
        <v>614</v>
      </c>
      <c r="M136" t="s">
        <v>185</v>
      </c>
      <c r="N136" s="45" t="s">
        <v>186</v>
      </c>
      <c r="O136" t="s">
        <v>44</v>
      </c>
      <c r="P136" t="s">
        <v>731</v>
      </c>
    </row>
    <row r="137" spans="1:16">
      <c r="A137" s="12">
        <f>ROW() - ROW(Table1[[#Headers],[SL No.]])</f>
        <v>136</v>
      </c>
      <c r="B137" s="17" t="s">
        <v>6</v>
      </c>
      <c r="C137" s="1" t="s">
        <v>732</v>
      </c>
      <c r="D137" s="53" t="s">
        <v>702</v>
      </c>
      <c r="E137" s="45">
        <v>871003260</v>
      </c>
      <c r="F137" s="15">
        <v>46078</v>
      </c>
      <c r="H137" s="4"/>
      <c r="I137" t="s">
        <v>39</v>
      </c>
      <c r="J137" t="s">
        <v>49</v>
      </c>
      <c r="K137" s="20">
        <v>1000</v>
      </c>
      <c r="L137" t="s">
        <v>703</v>
      </c>
      <c r="M137" t="s">
        <v>185</v>
      </c>
      <c r="N137" s="45" t="s">
        <v>186</v>
      </c>
      <c r="O137" t="s">
        <v>44</v>
      </c>
    </row>
    <row r="138" spans="1:16">
      <c r="A138" s="12">
        <f>ROW() - ROW(Table1[[#Headers],[SL No.]])</f>
        <v>137</v>
      </c>
      <c r="B138" s="17" t="s">
        <v>6</v>
      </c>
      <c r="C138" s="1" t="s">
        <v>682</v>
      </c>
      <c r="D138" s="53" t="s">
        <v>683</v>
      </c>
      <c r="E138" s="19" t="s">
        <v>684</v>
      </c>
      <c r="F138" s="15">
        <v>46068</v>
      </c>
      <c r="H138" s="4"/>
      <c r="I138" t="s">
        <v>39</v>
      </c>
      <c r="J138" t="s">
        <v>49</v>
      </c>
      <c r="K138" s="20">
        <v>750</v>
      </c>
      <c r="L138" t="s">
        <v>685</v>
      </c>
      <c r="M138" t="s">
        <v>185</v>
      </c>
      <c r="N138" s="45" t="s">
        <v>186</v>
      </c>
      <c r="O138" t="s">
        <v>44</v>
      </c>
    </row>
    <row r="139" spans="1:16">
      <c r="A139" s="12">
        <f>ROW() - ROW(Table1[[#Headers],[SL No.]])</f>
        <v>138</v>
      </c>
      <c r="B139" s="17" t="s">
        <v>10</v>
      </c>
      <c r="C139" s="2" t="s">
        <v>733</v>
      </c>
      <c r="D139" s="2" t="s">
        <v>734</v>
      </c>
      <c r="E139" s="19" t="s">
        <v>735</v>
      </c>
      <c r="F139" s="15">
        <v>46159</v>
      </c>
      <c r="H139" s="4"/>
      <c r="I139" t="s">
        <v>39</v>
      </c>
      <c r="K139" s="20"/>
    </row>
    <row r="140" spans="1:16">
      <c r="A140" s="12">
        <f>ROW() - ROW(Table1[[#Headers],[SL No.]])</f>
        <v>139</v>
      </c>
      <c r="B140" s="17" t="s">
        <v>10</v>
      </c>
      <c r="C140" s="2" t="s">
        <v>736</v>
      </c>
      <c r="D140" s="2" t="s">
        <v>737</v>
      </c>
      <c r="E140" s="19" t="s">
        <v>738</v>
      </c>
      <c r="F140" s="15">
        <v>46159</v>
      </c>
      <c r="H140" s="4"/>
      <c r="I140" t="s">
        <v>56</v>
      </c>
      <c r="J140" t="s">
        <v>98</v>
      </c>
      <c r="K140" s="20"/>
    </row>
    <row r="141" spans="1:16">
      <c r="A141" s="12">
        <f>ROW() - ROW(Table1[[#Headers],[SL No.]])</f>
        <v>140</v>
      </c>
      <c r="B141" s="17" t="s">
        <v>6</v>
      </c>
      <c r="C141" s="1" t="s">
        <v>679</v>
      </c>
      <c r="D141" s="53" t="s">
        <v>680</v>
      </c>
      <c r="E141" s="19" t="s">
        <v>681</v>
      </c>
      <c r="F141" s="15">
        <v>46068</v>
      </c>
      <c r="H141" s="4"/>
      <c r="I141" t="s">
        <v>39</v>
      </c>
      <c r="J141" t="s">
        <v>40</v>
      </c>
      <c r="K141" s="20">
        <v>450</v>
      </c>
      <c r="L141" s="80" t="s">
        <v>614</v>
      </c>
      <c r="M141" t="s">
        <v>185</v>
      </c>
      <c r="N141" s="45" t="s">
        <v>186</v>
      </c>
      <c r="O141" t="s">
        <v>44</v>
      </c>
    </row>
    <row r="142" spans="1:16">
      <c r="A142" s="12">
        <f>ROW() - ROW(Table1[[#Headers],[SL No.]])</f>
        <v>141</v>
      </c>
      <c r="B142" s="17" t="s">
        <v>6</v>
      </c>
      <c r="C142" s="45" t="s">
        <v>675</v>
      </c>
      <c r="D142" s="53" t="s">
        <v>676</v>
      </c>
      <c r="E142" s="19" t="s">
        <v>677</v>
      </c>
      <c r="F142" s="15">
        <v>46075</v>
      </c>
      <c r="G142" t="s">
        <v>38</v>
      </c>
      <c r="H142" s="4" t="s">
        <v>38</v>
      </c>
      <c r="I142" t="s">
        <v>39</v>
      </c>
      <c r="J142" t="s">
        <v>40</v>
      </c>
      <c r="K142" s="20">
        <v>400</v>
      </c>
      <c r="L142" s="80" t="s">
        <v>678</v>
      </c>
      <c r="M142" t="s">
        <v>185</v>
      </c>
      <c r="N142" s="45" t="s">
        <v>186</v>
      </c>
      <c r="O142" t="s">
        <v>44</v>
      </c>
    </row>
    <row r="143" spans="1:16" ht="30">
      <c r="A143" s="12">
        <f>ROW() - ROW(Table1[[#Headers],[SL No.]])</f>
        <v>142</v>
      </c>
      <c r="B143" s="17" t="s">
        <v>6</v>
      </c>
      <c r="C143" s="45" t="s">
        <v>667</v>
      </c>
      <c r="D143" s="53" t="s">
        <v>668</v>
      </c>
      <c r="E143" s="19" t="s">
        <v>669</v>
      </c>
      <c r="F143" s="15">
        <v>46061</v>
      </c>
      <c r="G143" t="s">
        <v>38</v>
      </c>
      <c r="H143" s="4" t="s">
        <v>38</v>
      </c>
      <c r="I143" t="s">
        <v>39</v>
      </c>
      <c r="J143" t="s">
        <v>40</v>
      </c>
      <c r="K143" s="20">
        <v>400</v>
      </c>
      <c r="L143" s="80" t="s">
        <v>614</v>
      </c>
      <c r="M143" t="s">
        <v>185</v>
      </c>
      <c r="N143" s="45" t="s">
        <v>186</v>
      </c>
      <c r="O143" t="s">
        <v>44</v>
      </c>
      <c r="P143" t="s">
        <v>731</v>
      </c>
    </row>
    <row r="144" spans="1:16">
      <c r="A144" s="12">
        <f>ROW() - ROW(Table1[[#Headers],[SL No.]])</f>
        <v>143</v>
      </c>
      <c r="B144" s="17" t="s">
        <v>6</v>
      </c>
      <c r="C144" s="1" t="s">
        <v>664</v>
      </c>
      <c r="D144" s="53" t="s">
        <v>665</v>
      </c>
      <c r="E144" s="19" t="s">
        <v>739</v>
      </c>
      <c r="F144" s="15">
        <v>46054</v>
      </c>
      <c r="G144" t="s">
        <v>38</v>
      </c>
      <c r="H144" s="4" t="s">
        <v>38</v>
      </c>
      <c r="I144" t="s">
        <v>39</v>
      </c>
      <c r="J144" t="s">
        <v>40</v>
      </c>
      <c r="K144" s="20">
        <v>400</v>
      </c>
      <c r="L144" s="80" t="s">
        <v>666</v>
      </c>
      <c r="M144" t="s">
        <v>185</v>
      </c>
      <c r="N144" s="45" t="s">
        <v>186</v>
      </c>
      <c r="O144" t="s">
        <v>44</v>
      </c>
      <c r="P144" t="s">
        <v>731</v>
      </c>
    </row>
    <row r="145" spans="1:16">
      <c r="A145" s="12">
        <f>ROW() - ROW(Table1[[#Headers],[SL No.]])</f>
        <v>144</v>
      </c>
      <c r="B145" s="17" t="s">
        <v>6</v>
      </c>
      <c r="C145" s="1" t="s">
        <v>740</v>
      </c>
      <c r="D145" s="81" t="s">
        <v>741</v>
      </c>
      <c r="E145" s="65" t="s">
        <v>742</v>
      </c>
      <c r="F145" s="15">
        <v>46110</v>
      </c>
      <c r="H145" s="4"/>
      <c r="I145" t="s">
        <v>39</v>
      </c>
      <c r="J145" t="s">
        <v>40</v>
      </c>
      <c r="K145" s="20">
        <v>400</v>
      </c>
      <c r="L145" s="80" t="s">
        <v>743</v>
      </c>
      <c r="M145" t="s">
        <v>185</v>
      </c>
      <c r="N145" s="45" t="s">
        <v>186</v>
      </c>
      <c r="O145" t="s">
        <v>44</v>
      </c>
    </row>
    <row r="146" spans="1:16">
      <c r="A146" s="12">
        <f>ROW() - ROW(Table1[[#Headers],[SL No.]])</f>
        <v>145</v>
      </c>
      <c r="B146" s="17" t="s">
        <v>6</v>
      </c>
      <c r="C146" s="1" t="s">
        <v>744</v>
      </c>
      <c r="D146" s="83" t="s">
        <v>745</v>
      </c>
      <c r="E146" s="82">
        <v>991200870</v>
      </c>
      <c r="F146" s="15">
        <v>46110</v>
      </c>
      <c r="H146" s="4"/>
      <c r="I146" t="s">
        <v>39</v>
      </c>
      <c r="J146" t="s">
        <v>40</v>
      </c>
      <c r="K146" s="20">
        <v>450</v>
      </c>
      <c r="L146" s="84" t="s">
        <v>746</v>
      </c>
      <c r="M146" t="s">
        <v>185</v>
      </c>
      <c r="N146" s="45" t="s">
        <v>186</v>
      </c>
      <c r="O146" t="s">
        <v>44</v>
      </c>
    </row>
    <row r="147" spans="1:16">
      <c r="A147" s="12">
        <f>ROW() - ROW(Table1[[#Headers],[SL No.]])</f>
        <v>146</v>
      </c>
      <c r="B147" s="17" t="s">
        <v>6</v>
      </c>
      <c r="C147" s="45" t="s">
        <v>747</v>
      </c>
      <c r="D147" s="81" t="s">
        <v>748</v>
      </c>
      <c r="E147" s="45">
        <v>951006622</v>
      </c>
      <c r="F147" s="15">
        <v>46110</v>
      </c>
      <c r="H147" s="4"/>
      <c r="I147" t="s">
        <v>56</v>
      </c>
      <c r="J147" t="s">
        <v>40</v>
      </c>
      <c r="K147" s="20">
        <v>450</v>
      </c>
      <c r="L147" s="80" t="s">
        <v>595</v>
      </c>
      <c r="M147" t="s">
        <v>185</v>
      </c>
      <c r="N147" s="45" t="s">
        <v>186</v>
      </c>
      <c r="O147" t="s">
        <v>44</v>
      </c>
    </row>
    <row r="148" spans="1:16">
      <c r="A148" s="85">
        <f>ROW() - ROW(Table1[[#Headers],[SL No.]])</f>
        <v>147</v>
      </c>
      <c r="B148" s="17" t="s">
        <v>6</v>
      </c>
      <c r="C148" s="86" t="s">
        <v>749</v>
      </c>
      <c r="D148" s="87" t="s">
        <v>750</v>
      </c>
      <c r="E148" s="86">
        <v>960715843</v>
      </c>
      <c r="F148" s="88">
        <v>46377</v>
      </c>
      <c r="G148" t="s">
        <v>38</v>
      </c>
      <c r="H148" s="4"/>
      <c r="I148" t="s">
        <v>39</v>
      </c>
      <c r="J148" t="s">
        <v>49</v>
      </c>
      <c r="K148" s="89">
        <v>500</v>
      </c>
      <c r="L148" s="90" t="s">
        <v>751</v>
      </c>
      <c r="M148" t="s">
        <v>185</v>
      </c>
      <c r="N148" s="86" t="s">
        <v>186</v>
      </c>
      <c r="O148" t="s">
        <v>44</v>
      </c>
      <c r="P148" t="s">
        <v>45</v>
      </c>
    </row>
    <row r="149" spans="1:16" s="33" customFormat="1">
      <c r="A149" s="91">
        <f>ROW() - ROW(Table1[[#Headers],[SL No.]])</f>
        <v>148</v>
      </c>
      <c r="B149" s="92" t="s">
        <v>12</v>
      </c>
      <c r="C149" s="92" t="s">
        <v>752</v>
      </c>
      <c r="D149" s="92" t="s">
        <v>753</v>
      </c>
      <c r="E149" s="92" t="s">
        <v>754</v>
      </c>
      <c r="F149" s="93">
        <v>46158</v>
      </c>
      <c r="G149" s="92"/>
      <c r="H149" s="92"/>
      <c r="I149" s="92" t="s">
        <v>56</v>
      </c>
      <c r="J149" s="92" t="s">
        <v>49</v>
      </c>
      <c r="K149" s="94">
        <v>500</v>
      </c>
      <c r="L149" s="92" t="s">
        <v>578</v>
      </c>
      <c r="M149" s="92" t="s">
        <v>579</v>
      </c>
      <c r="N149" s="92" t="s">
        <v>755</v>
      </c>
      <c r="O149" s="33" t="s">
        <v>44</v>
      </c>
      <c r="P149" s="33" t="s">
        <v>756</v>
      </c>
    </row>
    <row r="150" spans="1:16" ht="30">
      <c r="A150" s="12">
        <f>ROW() - ROW(Table1[[#Headers],[SL No.]])</f>
        <v>149</v>
      </c>
      <c r="B150" s="17" t="s">
        <v>312</v>
      </c>
      <c r="C150" s="1" t="s">
        <v>757</v>
      </c>
      <c r="D150" s="81" t="s">
        <v>758</v>
      </c>
      <c r="E150" s="65">
        <v>30511844</v>
      </c>
      <c r="F150" s="15">
        <v>46160</v>
      </c>
      <c r="G150" t="s">
        <v>38</v>
      </c>
      <c r="H150" s="4"/>
      <c r="I150" t="s">
        <v>56</v>
      </c>
      <c r="J150" t="s">
        <v>40</v>
      </c>
      <c r="K150" s="20">
        <v>350</v>
      </c>
      <c r="L150" s="80" t="s">
        <v>432</v>
      </c>
      <c r="M150" t="s">
        <v>759</v>
      </c>
      <c r="N150" s="45" t="s">
        <v>760</v>
      </c>
      <c r="O150" t="s">
        <v>44</v>
      </c>
      <c r="P150" t="s">
        <v>45</v>
      </c>
    </row>
    <row r="151" spans="1:16">
      <c r="A151" s="12">
        <f>ROW() - ROW(Table1[[#Headers],[SL No.]])</f>
        <v>150</v>
      </c>
      <c r="B151" s="17" t="s">
        <v>6</v>
      </c>
      <c r="C151" s="1" t="s">
        <v>761</v>
      </c>
      <c r="D151" s="81" t="s">
        <v>762</v>
      </c>
      <c r="E151" s="65" t="s">
        <v>763</v>
      </c>
      <c r="F151" s="15">
        <v>46167</v>
      </c>
      <c r="G151" t="s">
        <v>38</v>
      </c>
      <c r="H151" s="4"/>
      <c r="I151" t="s">
        <v>56</v>
      </c>
      <c r="J151" t="s">
        <v>40</v>
      </c>
      <c r="K151" s="20">
        <v>800</v>
      </c>
      <c r="L151" s="80" t="s">
        <v>764</v>
      </c>
      <c r="M151" t="s">
        <v>765</v>
      </c>
      <c r="N151" s="45" t="s">
        <v>766</v>
      </c>
      <c r="O151" t="s">
        <v>44</v>
      </c>
    </row>
    <row r="152" spans="1:16">
      <c r="A152" s="12">
        <f>ROW() - ROW(Table1[[#Headers],[SL No.]])</f>
        <v>151</v>
      </c>
      <c r="B152" s="17" t="s">
        <v>312</v>
      </c>
      <c r="C152" s="1" t="s">
        <v>767</v>
      </c>
      <c r="D152" s="2" t="s">
        <v>768</v>
      </c>
      <c r="E152" s="19" t="s">
        <v>769</v>
      </c>
      <c r="F152" s="15">
        <v>46166</v>
      </c>
      <c r="G152" t="s">
        <v>38</v>
      </c>
      <c r="H152" s="4" t="s">
        <v>38</v>
      </c>
      <c r="I152" t="s">
        <v>56</v>
      </c>
      <c r="J152" t="s">
        <v>98</v>
      </c>
      <c r="K152" s="20">
        <v>460</v>
      </c>
      <c r="L152" t="s">
        <v>770</v>
      </c>
      <c r="M152" t="s">
        <v>771</v>
      </c>
      <c r="N152" t="s">
        <v>772</v>
      </c>
      <c r="O152" t="s">
        <v>44</v>
      </c>
      <c r="P152" t="s">
        <v>773</v>
      </c>
    </row>
    <row r="153" spans="1:16">
      <c r="A153" s="12">
        <f>ROW() - ROW(Table1[[#Headers],[SL No.]])</f>
        <v>152</v>
      </c>
      <c r="B153" s="17"/>
      <c r="C153" s="1" t="s">
        <v>774</v>
      </c>
      <c r="D153" s="55" t="s">
        <v>775</v>
      </c>
      <c r="E153" s="47">
        <v>890704430</v>
      </c>
      <c r="F153" s="15">
        <v>46140</v>
      </c>
      <c r="G153" t="s">
        <v>38</v>
      </c>
      <c r="H153" s="4"/>
      <c r="I153" t="s">
        <v>39</v>
      </c>
      <c r="J153" t="s">
        <v>49</v>
      </c>
      <c r="K153" s="20">
        <v>500</v>
      </c>
      <c r="L153" t="s">
        <v>776</v>
      </c>
      <c r="M153" t="s">
        <v>777</v>
      </c>
      <c r="N153" s="45" t="s">
        <v>778</v>
      </c>
      <c r="O153" t="s">
        <v>44</v>
      </c>
      <c r="P153" s="33" t="s">
        <v>756</v>
      </c>
    </row>
    <row r="154" spans="1:16">
      <c r="A154" s="12">
        <f>ROW() - ROW(Table1[[#Headers],[SL No.]])</f>
        <v>153</v>
      </c>
      <c r="B154" s="17" t="s">
        <v>6</v>
      </c>
      <c r="C154" s="1" t="s">
        <v>779</v>
      </c>
      <c r="D154" s="14" t="s">
        <v>780</v>
      </c>
      <c r="E154" s="19" t="s">
        <v>781</v>
      </c>
      <c r="F154" s="15">
        <v>46175</v>
      </c>
      <c r="G154" t="s">
        <v>38</v>
      </c>
      <c r="H154" s="4"/>
      <c r="J154" t="s">
        <v>49</v>
      </c>
      <c r="K154" s="20">
        <v>500</v>
      </c>
      <c r="L154" t="s">
        <v>782</v>
      </c>
      <c r="M154" s="80" t="s">
        <v>783</v>
      </c>
      <c r="N154" s="80" t="s">
        <v>784</v>
      </c>
      <c r="O154" t="s">
        <v>44</v>
      </c>
    </row>
    <row r="155" spans="1:16">
      <c r="A155" s="12">
        <f>ROW() - ROW(Table1[[#Headers],[SL No.]])</f>
        <v>154</v>
      </c>
      <c r="B155" s="17" t="s">
        <v>1</v>
      </c>
      <c r="C155" s="1" t="s">
        <v>785</v>
      </c>
      <c r="D155" s="14" t="s">
        <v>786</v>
      </c>
      <c r="E155" s="19" t="s">
        <v>787</v>
      </c>
      <c r="F155" s="15">
        <v>46190</v>
      </c>
      <c r="G155" t="s">
        <v>38</v>
      </c>
      <c r="H155" s="4"/>
      <c r="I155" t="s">
        <v>39</v>
      </c>
      <c r="J155" t="s">
        <v>40</v>
      </c>
      <c r="K155" s="20">
        <v>350</v>
      </c>
      <c r="L155" t="s">
        <v>788</v>
      </c>
      <c r="M155" s="80" t="s">
        <v>789</v>
      </c>
      <c r="N155" s="80" t="s">
        <v>790</v>
      </c>
      <c r="O155" t="s">
        <v>44</v>
      </c>
    </row>
    <row r="156" spans="1:16">
      <c r="A156" s="12">
        <f>ROW() - ROW(Table1[[#Headers],[SL No.]])</f>
        <v>155</v>
      </c>
      <c r="B156" s="17" t="s">
        <v>312</v>
      </c>
      <c r="C156" s="1" t="s">
        <v>791</v>
      </c>
      <c r="D156" s="2" t="s">
        <v>792</v>
      </c>
      <c r="E156" s="19" t="s">
        <v>793</v>
      </c>
      <c r="F156" s="15">
        <v>46176</v>
      </c>
      <c r="H156" s="4"/>
      <c r="I156" t="s">
        <v>56</v>
      </c>
      <c r="J156" t="s">
        <v>49</v>
      </c>
      <c r="K156" s="20">
        <v>500</v>
      </c>
      <c r="L156" s="80" t="s">
        <v>794</v>
      </c>
      <c r="M156" s="80" t="s">
        <v>795</v>
      </c>
      <c r="N156" s="80" t="s">
        <v>796</v>
      </c>
      <c r="O156" t="s">
        <v>44</v>
      </c>
    </row>
    <row r="157" spans="1:16">
      <c r="A157" s="12">
        <f>ROW() - ROW(Table1[[#Headers],[SL No.]])</f>
        <v>156</v>
      </c>
      <c r="B157" s="17"/>
      <c r="C157" s="1" t="s">
        <v>797</v>
      </c>
      <c r="D157" s="2" t="s">
        <v>798</v>
      </c>
      <c r="E157" s="19">
        <v>890304173</v>
      </c>
      <c r="F157" s="15">
        <v>46194</v>
      </c>
      <c r="G157" t="s">
        <v>38</v>
      </c>
      <c r="H157" s="4" t="s">
        <v>38</v>
      </c>
      <c r="I157" t="s">
        <v>56</v>
      </c>
      <c r="J157" t="s">
        <v>49</v>
      </c>
      <c r="K157" s="20">
        <v>600</v>
      </c>
      <c r="L157" s="80" t="s">
        <v>799</v>
      </c>
      <c r="M157" s="80" t="s">
        <v>800</v>
      </c>
      <c r="N157" s="80" t="s">
        <v>801</v>
      </c>
      <c r="O157" t="s">
        <v>44</v>
      </c>
    </row>
    <row r="158" spans="1:16">
      <c r="A158" s="12">
        <f>ROW() - ROW(Table1[[#Headers],[SL No.]])</f>
        <v>157</v>
      </c>
      <c r="B158" s="17" t="s">
        <v>6</v>
      </c>
      <c r="C158" s="1" t="s">
        <v>802</v>
      </c>
      <c r="D158" s="2" t="s">
        <v>803</v>
      </c>
      <c r="E158" s="19" t="s">
        <v>804</v>
      </c>
      <c r="F158" s="15">
        <v>46194</v>
      </c>
      <c r="G158" t="s">
        <v>38</v>
      </c>
      <c r="H158" s="4"/>
      <c r="I158" t="s">
        <v>39</v>
      </c>
      <c r="J158" t="s">
        <v>40</v>
      </c>
      <c r="K158" s="20">
        <v>352</v>
      </c>
      <c r="L158" s="80" t="s">
        <v>805</v>
      </c>
      <c r="M158" s="80" t="s">
        <v>806</v>
      </c>
      <c r="N158" s="80" t="s">
        <v>807</v>
      </c>
      <c r="O158" t="s">
        <v>44</v>
      </c>
      <c r="P158" s="12"/>
    </row>
    <row r="159" spans="1:16">
      <c r="A159" s="12">
        <f>ROW() - ROW(Table1[[#Headers],[SL No.]])</f>
        <v>158</v>
      </c>
      <c r="B159" s="17" t="s">
        <v>10</v>
      </c>
      <c r="C159" s="1" t="s">
        <v>808</v>
      </c>
      <c r="D159" s="2" t="s">
        <v>809</v>
      </c>
      <c r="E159" s="19" t="s">
        <v>810</v>
      </c>
      <c r="F159" s="15">
        <v>46187</v>
      </c>
      <c r="G159" t="s">
        <v>38</v>
      </c>
      <c r="H159" s="4" t="s">
        <v>38</v>
      </c>
      <c r="I159" t="s">
        <v>39</v>
      </c>
      <c r="J159" t="s">
        <v>49</v>
      </c>
      <c r="K159" s="20">
        <v>700</v>
      </c>
      <c r="L159" s="80" t="s">
        <v>811</v>
      </c>
      <c r="M159" s="80" t="s">
        <v>812</v>
      </c>
      <c r="N159" s="80" t="s">
        <v>813</v>
      </c>
      <c r="O159" t="s">
        <v>44</v>
      </c>
      <c r="P159" s="12"/>
    </row>
    <row r="160" spans="1:16">
      <c r="A160" s="12">
        <f>ROW() - ROW(Table1[[#Headers],[SL No.]])</f>
        <v>159</v>
      </c>
      <c r="B160" s="17"/>
      <c r="C160" s="1" t="s">
        <v>814</v>
      </c>
      <c r="D160" s="2" t="s">
        <v>815</v>
      </c>
      <c r="E160" s="19" t="s">
        <v>816</v>
      </c>
      <c r="F160" s="15">
        <v>46190</v>
      </c>
      <c r="G160" t="s">
        <v>38</v>
      </c>
      <c r="H160" s="4" t="s">
        <v>38</v>
      </c>
      <c r="I160" t="s">
        <v>56</v>
      </c>
      <c r="J160" t="s">
        <v>49</v>
      </c>
      <c r="K160" s="20">
        <v>950</v>
      </c>
      <c r="L160" s="80" t="s">
        <v>817</v>
      </c>
      <c r="M160" s="80" t="s">
        <v>197</v>
      </c>
      <c r="N160" s="80" t="s">
        <v>198</v>
      </c>
      <c r="O160" t="s">
        <v>44</v>
      </c>
    </row>
    <row r="161" spans="1:16">
      <c r="A161" s="12">
        <f>ROW() - ROW(Table1[[#Headers],[SL No.]])</f>
        <v>160</v>
      </c>
      <c r="B161" s="17"/>
      <c r="C161" s="1" t="s">
        <v>818</v>
      </c>
      <c r="D161" s="2" t="s">
        <v>819</v>
      </c>
      <c r="E161" s="19" t="s">
        <v>820</v>
      </c>
      <c r="F161" s="15">
        <v>46190</v>
      </c>
      <c r="H161" s="4"/>
      <c r="I161" t="s">
        <v>39</v>
      </c>
      <c r="J161" t="s">
        <v>49</v>
      </c>
      <c r="K161" s="20">
        <v>600</v>
      </c>
      <c r="L161" s="80" t="s">
        <v>821</v>
      </c>
      <c r="M161" t="s">
        <v>822</v>
      </c>
      <c r="N161" t="s">
        <v>823</v>
      </c>
      <c r="O161" t="s">
        <v>44</v>
      </c>
      <c r="P161" s="33" t="s">
        <v>756</v>
      </c>
    </row>
    <row r="162" spans="1:16">
      <c r="A162" s="12">
        <f>ROW() - ROW(Table1[[#Headers],[SL No.]])</f>
        <v>161</v>
      </c>
      <c r="B162" s="17"/>
      <c r="C162" s="101" t="s">
        <v>824</v>
      </c>
      <c r="D162" s="2" t="s">
        <v>825</v>
      </c>
      <c r="E162" s="19" t="s">
        <v>826</v>
      </c>
      <c r="F162" s="15">
        <v>46194</v>
      </c>
      <c r="G162" t="s">
        <v>38</v>
      </c>
      <c r="H162" s="4"/>
      <c r="I162" t="s">
        <v>39</v>
      </c>
      <c r="J162" t="s">
        <v>49</v>
      </c>
      <c r="K162" s="20">
        <v>530</v>
      </c>
      <c r="L162" t="s">
        <v>635</v>
      </c>
      <c r="M162" t="s">
        <v>100</v>
      </c>
      <c r="N162" t="s">
        <v>101</v>
      </c>
      <c r="O162" t="s">
        <v>44</v>
      </c>
      <c r="P162" s="33" t="s">
        <v>756</v>
      </c>
    </row>
    <row r="163" spans="1:16">
      <c r="A163" s="12">
        <f>ROW() - ROW(Table1[[#Headers],[SL No.]])</f>
        <v>162</v>
      </c>
      <c r="B163" s="17" t="s">
        <v>9</v>
      </c>
      <c r="C163" s="103" t="s">
        <v>827</v>
      </c>
      <c r="D163" s="100" t="s">
        <v>828</v>
      </c>
      <c r="E163" s="19" t="s">
        <v>829</v>
      </c>
      <c r="F163" s="15">
        <v>46194</v>
      </c>
      <c r="G163" t="s">
        <v>38</v>
      </c>
      <c r="H163" s="4"/>
      <c r="I163" t="s">
        <v>39</v>
      </c>
      <c r="J163" t="s">
        <v>98</v>
      </c>
      <c r="K163" s="20">
        <v>430</v>
      </c>
      <c r="L163" t="s">
        <v>635</v>
      </c>
      <c r="M163" t="s">
        <v>100</v>
      </c>
      <c r="N163" t="s">
        <v>101</v>
      </c>
      <c r="O163" t="s">
        <v>44</v>
      </c>
      <c r="P163" s="33" t="s">
        <v>756</v>
      </c>
    </row>
    <row r="164" spans="1:16">
      <c r="A164" s="12">
        <f>ROW() - ROW(Table1[[#Headers],[SL No.]])</f>
        <v>163</v>
      </c>
      <c r="B164" s="17"/>
      <c r="C164" s="29" t="s">
        <v>830</v>
      </c>
      <c r="D164" s="100" t="s">
        <v>831</v>
      </c>
      <c r="E164" s="19" t="s">
        <v>832</v>
      </c>
      <c r="F164" s="15">
        <v>46190</v>
      </c>
      <c r="H164" s="4"/>
      <c r="I164" t="s">
        <v>56</v>
      </c>
      <c r="J164" t="s">
        <v>49</v>
      </c>
      <c r="K164" s="20">
        <v>600</v>
      </c>
      <c r="L164" t="s">
        <v>833</v>
      </c>
      <c r="M164" t="s">
        <v>100</v>
      </c>
      <c r="N164" t="s">
        <v>101</v>
      </c>
      <c r="O164" t="s">
        <v>44</v>
      </c>
      <c r="P164" s="33" t="s">
        <v>756</v>
      </c>
    </row>
    <row r="165" spans="1:16">
      <c r="A165" s="12">
        <f>ROW() - ROW(Table1[[#Headers],[SL No.]])</f>
        <v>164</v>
      </c>
      <c r="B165" s="17" t="s">
        <v>6</v>
      </c>
      <c r="C165" s="29" t="s">
        <v>834</v>
      </c>
      <c r="D165" s="102" t="s">
        <v>835</v>
      </c>
      <c r="E165" s="19" t="s">
        <v>836</v>
      </c>
      <c r="F165" s="54">
        <v>46187</v>
      </c>
      <c r="H165" s="4"/>
      <c r="K165" s="20">
        <v>500</v>
      </c>
      <c r="L165" s="80" t="s">
        <v>837</v>
      </c>
      <c r="M165" s="80" t="s">
        <v>838</v>
      </c>
      <c r="N165" s="80" t="s">
        <v>154</v>
      </c>
      <c r="O165" t="s">
        <v>89</v>
      </c>
    </row>
    <row r="166" spans="1:16">
      <c r="A166" s="12">
        <f>ROW() - ROW(Table1[[#Headers],[SL No.]])</f>
        <v>165</v>
      </c>
      <c r="B166" s="17" t="s">
        <v>1</v>
      </c>
      <c r="C166" s="1" t="s">
        <v>839</v>
      </c>
      <c r="D166" s="2" t="s">
        <v>840</v>
      </c>
      <c r="E166" s="19" t="s">
        <v>841</v>
      </c>
      <c r="F166" s="15">
        <v>46204</v>
      </c>
      <c r="G166" t="s">
        <v>38</v>
      </c>
      <c r="H166" s="4"/>
      <c r="I166" t="s">
        <v>39</v>
      </c>
      <c r="J166" t="s">
        <v>98</v>
      </c>
      <c r="K166" s="20">
        <v>500</v>
      </c>
      <c r="L166" t="s">
        <v>842</v>
      </c>
      <c r="M166" t="s">
        <v>843</v>
      </c>
      <c r="N166" t="s">
        <v>844</v>
      </c>
      <c r="O166" t="s">
        <v>44</v>
      </c>
    </row>
    <row r="167" spans="1:16">
      <c r="A167" s="12">
        <f>ROW() - ROW(Table1[[#Headers],[SL No.]])</f>
        <v>166</v>
      </c>
      <c r="B167" s="17"/>
      <c r="C167" s="1" t="s">
        <v>845</v>
      </c>
      <c r="D167" s="99" t="s">
        <v>846</v>
      </c>
      <c r="E167" s="19" t="s">
        <v>847</v>
      </c>
      <c r="F167" s="15">
        <v>46194</v>
      </c>
      <c r="G167" t="s">
        <v>38</v>
      </c>
      <c r="H167" s="4" t="s">
        <v>38</v>
      </c>
      <c r="I167" t="s">
        <v>39</v>
      </c>
      <c r="J167" t="s">
        <v>40</v>
      </c>
      <c r="K167" s="20">
        <v>350</v>
      </c>
      <c r="L167" t="s">
        <v>788</v>
      </c>
      <c r="M167" s="80" t="s">
        <v>789</v>
      </c>
      <c r="N167" s="80" t="s">
        <v>848</v>
      </c>
      <c r="O167" t="s">
        <v>44</v>
      </c>
    </row>
    <row r="168" spans="1:16">
      <c r="A168" s="12">
        <f>ROW() - ROW(Table1[[#Headers],[SL No.]])</f>
        <v>167</v>
      </c>
      <c r="B168" s="17" t="s">
        <v>1</v>
      </c>
      <c r="C168" s="1" t="s">
        <v>849</v>
      </c>
      <c r="D168" s="2" t="s">
        <v>850</v>
      </c>
      <c r="E168" s="19" t="s">
        <v>851</v>
      </c>
      <c r="F168" s="15">
        <v>46215</v>
      </c>
      <c r="H168" s="4"/>
      <c r="I168" t="s">
        <v>39</v>
      </c>
      <c r="J168" t="s">
        <v>49</v>
      </c>
      <c r="K168" s="20">
        <v>500</v>
      </c>
      <c r="L168" t="s">
        <v>852</v>
      </c>
      <c r="M168" t="s">
        <v>853</v>
      </c>
      <c r="N168" t="s">
        <v>854</v>
      </c>
      <c r="O168" t="s">
        <v>44</v>
      </c>
    </row>
    <row r="169" spans="1:16">
      <c r="A169" s="12">
        <f>ROW() - ROW(Table1[[#Headers],[SL No.]])</f>
        <v>168</v>
      </c>
      <c r="B169" s="17" t="s">
        <v>10</v>
      </c>
      <c r="C169" s="1" t="s">
        <v>855</v>
      </c>
      <c r="D169" s="2" t="s">
        <v>856</v>
      </c>
      <c r="E169" s="19">
        <v>900800380</v>
      </c>
      <c r="F169" s="15">
        <v>46215</v>
      </c>
      <c r="G169" t="s">
        <v>38</v>
      </c>
      <c r="H169" s="4" t="s">
        <v>38</v>
      </c>
      <c r="I169" t="s">
        <v>39</v>
      </c>
      <c r="J169" t="s">
        <v>49</v>
      </c>
      <c r="K169" s="20">
        <v>600</v>
      </c>
      <c r="L169" s="22" t="s">
        <v>857</v>
      </c>
      <c r="M169" t="s">
        <v>858</v>
      </c>
      <c r="N169" t="s">
        <v>859</v>
      </c>
      <c r="O169" t="s">
        <v>44</v>
      </c>
      <c r="P169" s="33" t="s">
        <v>756</v>
      </c>
    </row>
    <row r="170" spans="1:16">
      <c r="A170" s="12">
        <f>ROW() - ROW(Table1[[#Headers],[SL No.]])</f>
        <v>169</v>
      </c>
      <c r="B170" s="17" t="s">
        <v>9</v>
      </c>
      <c r="C170" s="1" t="s">
        <v>860</v>
      </c>
      <c r="D170" s="2" t="s">
        <v>861</v>
      </c>
      <c r="E170" s="19" t="s">
        <v>695</v>
      </c>
      <c r="F170" s="15">
        <v>46061</v>
      </c>
      <c r="G170" t="s">
        <v>38</v>
      </c>
      <c r="H170" s="4" t="s">
        <v>38</v>
      </c>
      <c r="I170" t="s">
        <v>39</v>
      </c>
      <c r="J170" t="s">
        <v>40</v>
      </c>
      <c r="K170" s="20">
        <v>400</v>
      </c>
      <c r="L170" t="s">
        <v>862</v>
      </c>
      <c r="M170" t="s">
        <v>185</v>
      </c>
      <c r="N170" s="22" t="s">
        <v>186</v>
      </c>
      <c r="O170" t="s">
        <v>44</v>
      </c>
      <c r="P170" s="33" t="s">
        <v>756</v>
      </c>
    </row>
    <row r="171" spans="1:16">
      <c r="A171" s="12">
        <f>ROW() - ROW(Table1[[#Headers],[SL No.]])</f>
        <v>170</v>
      </c>
      <c r="B171" s="17" t="s">
        <v>1</v>
      </c>
      <c r="C171" s="1" t="s">
        <v>863</v>
      </c>
      <c r="D171" s="2" t="s">
        <v>864</v>
      </c>
      <c r="E171" s="19" t="s">
        <v>865</v>
      </c>
      <c r="F171" s="15">
        <v>46215</v>
      </c>
      <c r="H171" s="4"/>
      <c r="I171" t="s">
        <v>56</v>
      </c>
      <c r="J171" t="s">
        <v>49</v>
      </c>
      <c r="K171" s="20">
        <v>500</v>
      </c>
      <c r="L171" t="s">
        <v>866</v>
      </c>
      <c r="M171" t="s">
        <v>51</v>
      </c>
      <c r="N171" t="s">
        <v>867</v>
      </c>
      <c r="O171" t="s">
        <v>44</v>
      </c>
    </row>
    <row r="172" spans="1:16">
      <c r="A172" s="12">
        <f>ROW() - ROW(Table1[[#Headers],[SL No.]])</f>
        <v>171</v>
      </c>
      <c r="B172" s="17" t="s">
        <v>1</v>
      </c>
      <c r="C172" s="1" t="s">
        <v>868</v>
      </c>
      <c r="D172" s="22" t="s">
        <v>869</v>
      </c>
      <c r="E172" s="109">
        <v>961102870</v>
      </c>
      <c r="F172" s="15">
        <v>46216</v>
      </c>
      <c r="H172" s="4"/>
      <c r="I172" t="s">
        <v>56</v>
      </c>
      <c r="J172" t="s">
        <v>49</v>
      </c>
      <c r="K172" s="20">
        <v>500</v>
      </c>
      <c r="L172" t="s">
        <v>86</v>
      </c>
      <c r="M172" t="s">
        <v>838</v>
      </c>
      <c r="N172" t="s">
        <v>154</v>
      </c>
      <c r="O172" t="s">
        <v>89</v>
      </c>
    </row>
    <row r="173" spans="1:16">
      <c r="A173" s="12">
        <f>ROW() - ROW(Table1[[#Headers],[SL No.]])</f>
        <v>172</v>
      </c>
      <c r="B173" s="17" t="s">
        <v>9</v>
      </c>
      <c r="C173" s="1" t="s">
        <v>870</v>
      </c>
      <c r="D173" s="22" t="s">
        <v>871</v>
      </c>
      <c r="E173" s="109">
        <v>990202550</v>
      </c>
      <c r="F173" s="110">
        <v>46215</v>
      </c>
      <c r="G173" t="s">
        <v>38</v>
      </c>
      <c r="H173" s="25" t="s">
        <v>38</v>
      </c>
      <c r="I173" t="s">
        <v>56</v>
      </c>
      <c r="J173" t="s">
        <v>49</v>
      </c>
      <c r="K173" s="20">
        <v>550</v>
      </c>
      <c r="L173" t="s">
        <v>872</v>
      </c>
      <c r="M173" t="s">
        <v>873</v>
      </c>
      <c r="N173" t="s">
        <v>874</v>
      </c>
      <c r="O173" t="s">
        <v>44</v>
      </c>
    </row>
    <row r="174" spans="1:16">
      <c r="A174" s="12">
        <f>ROW() - ROW(Table1[[#Headers],[SL No.]])</f>
        <v>173</v>
      </c>
      <c r="B174" s="17" t="s">
        <v>6</v>
      </c>
      <c r="C174" s="1" t="s">
        <v>875</v>
      </c>
      <c r="D174" s="2" t="s">
        <v>876</v>
      </c>
      <c r="E174" s="19" t="s">
        <v>877</v>
      </c>
      <c r="F174" s="110">
        <v>46216</v>
      </c>
      <c r="H174" s="4"/>
      <c r="K174" s="20">
        <v>500</v>
      </c>
      <c r="L174" s="111" t="s">
        <v>86</v>
      </c>
      <c r="M174" t="s">
        <v>838</v>
      </c>
      <c r="N174" t="s">
        <v>154</v>
      </c>
      <c r="O174" t="s">
        <v>44</v>
      </c>
    </row>
    <row r="175" spans="1:16">
      <c r="A175" s="12">
        <f>ROW() - ROW(Table1[[#Headers],[SL No.]])</f>
        <v>174</v>
      </c>
      <c r="B175" s="17" t="s">
        <v>1</v>
      </c>
      <c r="C175" s="1" t="s">
        <v>878</v>
      </c>
      <c r="D175" s="112" t="s">
        <v>879</v>
      </c>
      <c r="E175" s="113">
        <v>940105276</v>
      </c>
      <c r="F175" s="114">
        <v>46209</v>
      </c>
      <c r="G175" t="s">
        <v>38</v>
      </c>
      <c r="H175" s="4" t="s">
        <v>38</v>
      </c>
      <c r="J175" t="s">
        <v>40</v>
      </c>
      <c r="K175" s="20">
        <v>550</v>
      </c>
      <c r="L175" s="111" t="s">
        <v>880</v>
      </c>
      <c r="M175" s="111" t="s">
        <v>881</v>
      </c>
      <c r="N175" s="111" t="s">
        <v>472</v>
      </c>
      <c r="O175" t="s">
        <v>44</v>
      </c>
    </row>
    <row r="176" spans="1:16">
      <c r="A176" s="12">
        <f>ROW() - ROW(Table1[[#Headers],[SL No.]])</f>
        <v>175</v>
      </c>
      <c r="B176" s="17" t="s">
        <v>10</v>
      </c>
      <c r="C176" s="1" t="s">
        <v>882</v>
      </c>
      <c r="D176" s="2" t="s">
        <v>883</v>
      </c>
      <c r="E176" s="19" t="s">
        <v>884</v>
      </c>
      <c r="F176" s="15">
        <v>46222</v>
      </c>
      <c r="G176" t="s">
        <v>38</v>
      </c>
      <c r="H176" s="4" t="s">
        <v>38</v>
      </c>
      <c r="I176" t="s">
        <v>39</v>
      </c>
      <c r="J176" t="s">
        <v>49</v>
      </c>
      <c r="K176" s="20">
        <v>900</v>
      </c>
      <c r="L176" t="s">
        <v>885</v>
      </c>
      <c r="M176" t="s">
        <v>632</v>
      </c>
      <c r="N176" s="115" t="s">
        <v>535</v>
      </c>
      <c r="O176" t="s">
        <v>44</v>
      </c>
      <c r="P176" s="33" t="s">
        <v>756</v>
      </c>
    </row>
    <row r="177" spans="1:16">
      <c r="A177" s="12">
        <f>ROW() - ROW(Table1[[#Headers],[SL No.]])</f>
        <v>176</v>
      </c>
      <c r="B177" s="17" t="s">
        <v>9</v>
      </c>
      <c r="C177" s="1" t="s">
        <v>886</v>
      </c>
      <c r="D177" s="2" t="s">
        <v>887</v>
      </c>
      <c r="E177" s="19" t="s">
        <v>888</v>
      </c>
      <c r="F177" s="15">
        <v>46582</v>
      </c>
      <c r="G177" t="s">
        <v>38</v>
      </c>
      <c r="H177" s="4" t="s">
        <v>38</v>
      </c>
      <c r="I177" t="s">
        <v>39</v>
      </c>
      <c r="J177" t="s">
        <v>49</v>
      </c>
      <c r="K177" s="20">
        <v>800</v>
      </c>
      <c r="L177" t="s">
        <v>889</v>
      </c>
      <c r="M177" t="s">
        <v>890</v>
      </c>
      <c r="N177" t="s">
        <v>823</v>
      </c>
      <c r="O177" t="s">
        <v>44</v>
      </c>
    </row>
    <row r="178" spans="1:16">
      <c r="A178" s="12">
        <f>ROW() - ROW(Table1[[#Headers],[SL No.]])</f>
        <v>177</v>
      </c>
      <c r="B178" s="17" t="s">
        <v>9</v>
      </c>
      <c r="C178" s="1" t="s">
        <v>891</v>
      </c>
      <c r="D178" s="2" t="s">
        <v>892</v>
      </c>
      <c r="E178" s="19" t="s">
        <v>893</v>
      </c>
      <c r="F178" s="15">
        <v>46594</v>
      </c>
      <c r="H178" s="4"/>
      <c r="I178" t="s">
        <v>39</v>
      </c>
      <c r="J178" t="s">
        <v>49</v>
      </c>
      <c r="K178" s="20">
        <v>688</v>
      </c>
      <c r="L178" t="s">
        <v>894</v>
      </c>
      <c r="M178" t="s">
        <v>100</v>
      </c>
      <c r="N178" t="s">
        <v>895</v>
      </c>
      <c r="O178" t="s">
        <v>44</v>
      </c>
    </row>
    <row r="179" spans="1:16">
      <c r="A179" s="12">
        <f>ROW() - ROW(Table1[[#Headers],[SL No.]])</f>
        <v>178</v>
      </c>
      <c r="B179" s="17" t="s">
        <v>10</v>
      </c>
      <c r="C179" s="1" t="s">
        <v>505</v>
      </c>
      <c r="D179" s="24" t="s">
        <v>506</v>
      </c>
      <c r="E179" s="19" t="s">
        <v>507</v>
      </c>
      <c r="F179" s="15">
        <v>46050</v>
      </c>
      <c r="G179" t="s">
        <v>38</v>
      </c>
      <c r="H179" s="4" t="s">
        <v>38</v>
      </c>
      <c r="I179" t="s">
        <v>39</v>
      </c>
      <c r="J179" t="s">
        <v>40</v>
      </c>
      <c r="K179" s="20">
        <v>400</v>
      </c>
      <c r="L179" t="s">
        <v>508</v>
      </c>
      <c r="M179" t="s">
        <v>509</v>
      </c>
      <c r="N179" t="s">
        <v>510</v>
      </c>
      <c r="O179" t="s">
        <v>44</v>
      </c>
      <c r="P179" s="33" t="s">
        <v>350</v>
      </c>
    </row>
    <row r="180" spans="1:16">
      <c r="A180" s="12">
        <f>ROW() - ROW(Table1[[#Headers],[SL No.]])</f>
        <v>179</v>
      </c>
      <c r="B180" s="17" t="s">
        <v>9</v>
      </c>
      <c r="C180" s="1" t="s">
        <v>896</v>
      </c>
      <c r="D180" s="2" t="s">
        <v>897</v>
      </c>
      <c r="E180" s="19" t="s">
        <v>898</v>
      </c>
      <c r="F180" s="15">
        <v>46224</v>
      </c>
      <c r="G180" t="s">
        <v>38</v>
      </c>
      <c r="H180" s="4" t="s">
        <v>38</v>
      </c>
      <c r="I180" t="s">
        <v>56</v>
      </c>
      <c r="J180" t="s">
        <v>49</v>
      </c>
      <c r="K180" s="20">
        <v>500</v>
      </c>
      <c r="L180" s="22" t="s">
        <v>899</v>
      </c>
      <c r="M180" s="22" t="s">
        <v>900</v>
      </c>
      <c r="O180" t="s">
        <v>44</v>
      </c>
    </row>
    <row r="181" spans="1:16">
      <c r="A181" s="12">
        <f>ROW() - ROW(Table1[[#Headers],[SL No.]])</f>
        <v>180</v>
      </c>
      <c r="B181" s="17" t="s">
        <v>12</v>
      </c>
      <c r="C181" s="113" t="s">
        <v>901</v>
      </c>
      <c r="D181" s="22" t="s">
        <v>902</v>
      </c>
      <c r="E181" s="109">
        <v>930711890</v>
      </c>
      <c r="F181" s="15">
        <v>46222</v>
      </c>
      <c r="G181" t="s">
        <v>38</v>
      </c>
      <c r="H181" s="4"/>
      <c r="I181" t="s">
        <v>39</v>
      </c>
      <c r="K181" s="20">
        <v>700</v>
      </c>
      <c r="L181" s="22" t="s">
        <v>903</v>
      </c>
      <c r="M181" s="22" t="s">
        <v>904</v>
      </c>
      <c r="N181" s="22" t="s">
        <v>580</v>
      </c>
      <c r="O181" t="s">
        <v>44</v>
      </c>
    </row>
    <row r="182" spans="1:16">
      <c r="A182" s="12">
        <f>ROW() - ROW(Table1[[#Headers],[SL No.]])</f>
        <v>181</v>
      </c>
      <c r="B182" s="17" t="s">
        <v>9</v>
      </c>
      <c r="C182" s="1" t="s">
        <v>905</v>
      </c>
      <c r="D182" s="2" t="s">
        <v>906</v>
      </c>
      <c r="E182" s="19" t="s">
        <v>907</v>
      </c>
      <c r="F182" s="15">
        <v>46231</v>
      </c>
      <c r="G182" t="s">
        <v>38</v>
      </c>
      <c r="H182" s="4"/>
      <c r="I182" t="s">
        <v>39</v>
      </c>
      <c r="J182" t="s">
        <v>49</v>
      </c>
      <c r="K182" s="20">
        <v>800</v>
      </c>
      <c r="L182" t="s">
        <v>908</v>
      </c>
      <c r="M182" t="s">
        <v>890</v>
      </c>
      <c r="N182" t="s">
        <v>823</v>
      </c>
      <c r="O182" t="s">
        <v>44</v>
      </c>
    </row>
    <row r="183" spans="1:16">
      <c r="A183" s="12">
        <f>ROW() - ROW(Table1[[#Headers],[SL No.]])</f>
        <v>182</v>
      </c>
      <c r="B183" s="17" t="s">
        <v>1</v>
      </c>
      <c r="C183" s="1" t="s">
        <v>909</v>
      </c>
      <c r="D183" s="2" t="s">
        <v>910</v>
      </c>
      <c r="E183" s="19" t="s">
        <v>911</v>
      </c>
      <c r="F183" s="15">
        <v>46231</v>
      </c>
      <c r="G183" t="s">
        <v>38</v>
      </c>
      <c r="H183" s="4"/>
      <c r="I183" t="s">
        <v>39</v>
      </c>
      <c r="K183" s="20">
        <v>430</v>
      </c>
      <c r="L183" s="111" t="s">
        <v>912</v>
      </c>
      <c r="M183" s="111" t="s">
        <v>913</v>
      </c>
      <c r="N183" s="111" t="s">
        <v>914</v>
      </c>
      <c r="O183" t="s">
        <v>44</v>
      </c>
    </row>
    <row r="184" spans="1:16">
      <c r="A184" s="12">
        <f>ROW() - ROW(Table1[[#Headers],[SL No.]])</f>
        <v>183</v>
      </c>
      <c r="B184" s="17" t="s">
        <v>1</v>
      </c>
      <c r="C184" s="1" t="s">
        <v>915</v>
      </c>
      <c r="D184" s="2" t="s">
        <v>916</v>
      </c>
      <c r="E184" s="19" t="s">
        <v>917</v>
      </c>
      <c r="F184" s="110">
        <v>46236</v>
      </c>
      <c r="G184" t="s">
        <v>38</v>
      </c>
      <c r="H184" s="4" t="s">
        <v>38</v>
      </c>
      <c r="I184" t="s">
        <v>56</v>
      </c>
      <c r="K184" s="20">
        <v>388</v>
      </c>
      <c r="L184" s="22" t="s">
        <v>918</v>
      </c>
      <c r="M184" s="22" t="s">
        <v>919</v>
      </c>
      <c r="N184" s="22" t="s">
        <v>920</v>
      </c>
      <c r="O184" t="s">
        <v>44</v>
      </c>
    </row>
    <row r="185" spans="1:16">
      <c r="A185" s="12">
        <f>ROW() - ROW(Table1[[#Headers],[SL No.]])</f>
        <v>184</v>
      </c>
      <c r="B185" s="17" t="s">
        <v>10</v>
      </c>
      <c r="C185" s="1" t="s">
        <v>921</v>
      </c>
      <c r="D185" s="2" t="s">
        <v>922</v>
      </c>
      <c r="E185" s="19" t="s">
        <v>923</v>
      </c>
      <c r="F185" s="110">
        <v>46235</v>
      </c>
      <c r="H185" s="4"/>
      <c r="K185" s="20">
        <v>500</v>
      </c>
      <c r="L185" s="22" t="s">
        <v>837</v>
      </c>
      <c r="M185" s="22" t="s">
        <v>838</v>
      </c>
      <c r="N185" s="22" t="s">
        <v>154</v>
      </c>
      <c r="O185" t="s">
        <v>89</v>
      </c>
    </row>
    <row r="186" spans="1:16">
      <c r="A186" s="12">
        <f>ROW() - ROW(Table1[[#Headers],[SL No.]])</f>
        <v>185</v>
      </c>
      <c r="B186" s="17" t="s">
        <v>12</v>
      </c>
      <c r="C186" s="1" t="s">
        <v>924</v>
      </c>
      <c r="D186" s="2" t="s">
        <v>925</v>
      </c>
      <c r="E186" s="19" t="s">
        <v>926</v>
      </c>
      <c r="F186" s="110">
        <v>46236</v>
      </c>
      <c r="H186" s="4"/>
      <c r="I186" t="s">
        <v>56</v>
      </c>
      <c r="K186" s="20">
        <v>643</v>
      </c>
      <c r="L186" t="s">
        <v>927</v>
      </c>
      <c r="M186" s="22" t="s">
        <v>928</v>
      </c>
      <c r="N186" s="22" t="s">
        <v>929</v>
      </c>
      <c r="O186" t="s">
        <v>44</v>
      </c>
    </row>
    <row r="187" spans="1:16">
      <c r="A187" s="12">
        <f>ROW() - ROW(Table1[[#Headers],[SL No.]])</f>
        <v>186</v>
      </c>
      <c r="B187" s="17" t="s">
        <v>536</v>
      </c>
      <c r="C187" s="113" t="s">
        <v>930</v>
      </c>
      <c r="D187" s="22" t="s">
        <v>931</v>
      </c>
      <c r="E187" s="109">
        <v>870307983</v>
      </c>
      <c r="F187" s="15">
        <v>46233</v>
      </c>
      <c r="G187" t="s">
        <v>38</v>
      </c>
      <c r="H187" s="4"/>
      <c r="I187" t="s">
        <v>56</v>
      </c>
      <c r="J187" t="s">
        <v>49</v>
      </c>
      <c r="K187" s="20">
        <v>550</v>
      </c>
      <c r="L187" s="22" t="s">
        <v>932</v>
      </c>
      <c r="M187" s="22" t="s">
        <v>933</v>
      </c>
      <c r="N187" s="22" t="s">
        <v>934</v>
      </c>
      <c r="O187" t="s">
        <v>44</v>
      </c>
    </row>
    <row r="188" spans="1:16">
      <c r="A188" s="12">
        <f>ROW() - ROW(Table1[[#Headers],[SL No.]])</f>
        <v>187</v>
      </c>
      <c r="B188" s="17" t="s">
        <v>9</v>
      </c>
      <c r="C188" s="113" t="s">
        <v>935</v>
      </c>
      <c r="D188" s="2" t="s">
        <v>936</v>
      </c>
      <c r="E188" s="19" t="s">
        <v>937</v>
      </c>
      <c r="F188" s="110">
        <v>46229</v>
      </c>
      <c r="H188" s="4"/>
      <c r="K188" s="20">
        <v>950</v>
      </c>
      <c r="L188" s="22" t="s">
        <v>938</v>
      </c>
      <c r="M188" s="22" t="s">
        <v>822</v>
      </c>
      <c r="N188" s="22" t="s">
        <v>823</v>
      </c>
      <c r="O188" t="s">
        <v>44</v>
      </c>
    </row>
    <row r="189" spans="1:16">
      <c r="A189" s="12">
        <f>ROW() - ROW(Table1[[#Headers],[SL No.]])</f>
        <v>188</v>
      </c>
      <c r="B189" s="17" t="s">
        <v>312</v>
      </c>
      <c r="C189" s="1" t="s">
        <v>939</v>
      </c>
      <c r="D189" s="2" t="s">
        <v>940</v>
      </c>
      <c r="E189" s="109">
        <v>950801267</v>
      </c>
      <c r="F189" s="110">
        <v>46243</v>
      </c>
      <c r="H189" s="4"/>
      <c r="I189" t="s">
        <v>56</v>
      </c>
      <c r="J189" t="s">
        <v>49</v>
      </c>
      <c r="K189" s="20">
        <v>500</v>
      </c>
      <c r="L189" s="22" t="s">
        <v>941</v>
      </c>
      <c r="M189" s="22" t="s">
        <v>942</v>
      </c>
      <c r="N189" s="22" t="s">
        <v>943</v>
      </c>
      <c r="O189" t="s">
        <v>44</v>
      </c>
    </row>
    <row r="190" spans="1:16">
      <c r="A190" s="12">
        <f>ROW() - ROW(Table1[[#Headers],[SL No.]])</f>
        <v>189</v>
      </c>
      <c r="B190" s="17" t="s">
        <v>12</v>
      </c>
      <c r="C190" s="1" t="s">
        <v>944</v>
      </c>
      <c r="D190" s="2" t="s">
        <v>945</v>
      </c>
      <c r="E190" s="19" t="s">
        <v>946</v>
      </c>
      <c r="F190" s="15">
        <v>46233</v>
      </c>
      <c r="H190" s="4"/>
      <c r="I190" t="s">
        <v>39</v>
      </c>
      <c r="J190" t="s">
        <v>49</v>
      </c>
      <c r="K190" s="20">
        <v>500</v>
      </c>
      <c r="L190" s="22" t="s">
        <v>947</v>
      </c>
      <c r="M190" s="22" t="s">
        <v>948</v>
      </c>
      <c r="N190" s="22" t="s">
        <v>949</v>
      </c>
      <c r="O190" t="s">
        <v>44</v>
      </c>
    </row>
    <row r="191" spans="1:16">
      <c r="A191" s="12">
        <f>ROW() - ROW(Table1[[#Headers],[SL No.]])</f>
        <v>190</v>
      </c>
      <c r="B191" s="17" t="s">
        <v>10</v>
      </c>
      <c r="C191" s="1" t="s">
        <v>950</v>
      </c>
      <c r="D191" s="2" t="s">
        <v>951</v>
      </c>
      <c r="E191" s="19" t="s">
        <v>952</v>
      </c>
      <c r="F191" s="15">
        <v>46235</v>
      </c>
      <c r="G191" t="s">
        <v>38</v>
      </c>
      <c r="H191" s="4"/>
      <c r="I191" t="s">
        <v>39</v>
      </c>
      <c r="J191" t="s">
        <v>49</v>
      </c>
      <c r="K191" s="20">
        <v>500</v>
      </c>
      <c r="L191" t="s">
        <v>953</v>
      </c>
      <c r="M191" t="s">
        <v>954</v>
      </c>
      <c r="N191" t="s">
        <v>119</v>
      </c>
      <c r="O191" t="s">
        <v>44</v>
      </c>
    </row>
    <row r="192" spans="1:16">
      <c r="A192" s="12">
        <f>ROW() - ROW(Table1[[#Headers],[SL No.]])</f>
        <v>191</v>
      </c>
      <c r="B192" s="17" t="s">
        <v>6</v>
      </c>
      <c r="C192" s="1" t="s">
        <v>955</v>
      </c>
      <c r="D192" s="2" t="s">
        <v>956</v>
      </c>
      <c r="E192" s="19" t="s">
        <v>957</v>
      </c>
      <c r="F192" s="110">
        <v>46235</v>
      </c>
      <c r="H192" s="4"/>
      <c r="I192" t="s">
        <v>56</v>
      </c>
      <c r="K192" s="20">
        <v>600</v>
      </c>
      <c r="L192" s="22" t="s">
        <v>958</v>
      </c>
      <c r="M192" s="22" t="s">
        <v>959</v>
      </c>
      <c r="N192" s="22" t="s">
        <v>960</v>
      </c>
      <c r="O192" t="s">
        <v>44</v>
      </c>
    </row>
    <row r="193" spans="1:15">
      <c r="A193" s="12">
        <f>ROW() - ROW(Table1[[#Headers],[SL No.]])</f>
        <v>192</v>
      </c>
      <c r="B193" s="17" t="s">
        <v>1</v>
      </c>
      <c r="C193" s="1" t="s">
        <v>961</v>
      </c>
      <c r="D193" s="2" t="s">
        <v>962</v>
      </c>
      <c r="E193" s="109">
        <v>950702803</v>
      </c>
      <c r="F193" s="110">
        <v>46236</v>
      </c>
      <c r="G193" t="s">
        <v>38</v>
      </c>
      <c r="H193" s="4"/>
      <c r="I193" t="s">
        <v>56</v>
      </c>
      <c r="K193" s="20">
        <v>600</v>
      </c>
      <c r="L193" s="22" t="s">
        <v>963</v>
      </c>
      <c r="M193" s="22" t="s">
        <v>185</v>
      </c>
      <c r="N193" s="22" t="s">
        <v>186</v>
      </c>
      <c r="O193" t="s">
        <v>44</v>
      </c>
    </row>
    <row r="194" spans="1:15">
      <c r="A194" s="12">
        <f>ROW() - ROW(Table1[[#Headers],[SL No.]])</f>
        <v>193</v>
      </c>
      <c r="B194" s="17" t="s">
        <v>9</v>
      </c>
      <c r="C194" s="1" t="s">
        <v>964</v>
      </c>
      <c r="D194" s="2" t="s">
        <v>965</v>
      </c>
      <c r="E194" s="19" t="s">
        <v>966</v>
      </c>
      <c r="F194" s="110">
        <v>46247</v>
      </c>
      <c r="G194" t="s">
        <v>38</v>
      </c>
      <c r="H194" s="4"/>
      <c r="I194" t="s">
        <v>56</v>
      </c>
      <c r="J194" t="s">
        <v>49</v>
      </c>
      <c r="K194" s="20">
        <v>500</v>
      </c>
      <c r="L194" s="22" t="s">
        <v>932</v>
      </c>
      <c r="M194" s="22" t="s">
        <v>933</v>
      </c>
      <c r="N194" s="22" t="s">
        <v>934</v>
      </c>
      <c r="O194" t="s">
        <v>44</v>
      </c>
    </row>
    <row r="195" spans="1:15">
      <c r="A195" s="12">
        <f>ROW() - ROW(Table1[[#Headers],[SL No.]])</f>
        <v>194</v>
      </c>
      <c r="B195" s="17" t="s">
        <v>967</v>
      </c>
      <c r="C195" s="1" t="s">
        <v>968</v>
      </c>
      <c r="D195" s="22" t="s">
        <v>969</v>
      </c>
      <c r="E195" s="109">
        <v>840409532</v>
      </c>
      <c r="F195" s="110">
        <v>46245</v>
      </c>
      <c r="G195" t="s">
        <v>38</v>
      </c>
      <c r="H195" s="4"/>
      <c r="I195" t="s">
        <v>56</v>
      </c>
      <c r="J195" t="s">
        <v>49</v>
      </c>
      <c r="K195" s="6">
        <v>600</v>
      </c>
      <c r="L195" t="s">
        <v>970</v>
      </c>
      <c r="M195" s="22" t="s">
        <v>971</v>
      </c>
      <c r="N195" s="22" t="s">
        <v>972</v>
      </c>
      <c r="O195" t="s">
        <v>44</v>
      </c>
    </row>
    <row r="196" spans="1:15">
      <c r="A196" s="12">
        <f>ROW() - ROW(Table1[[#Headers],[SL No.]])</f>
        <v>195</v>
      </c>
      <c r="B196" s="17" t="s">
        <v>9</v>
      </c>
      <c r="C196" s="1" t="s">
        <v>973</v>
      </c>
      <c r="D196" t="s">
        <v>974</v>
      </c>
      <c r="E196" s="109">
        <v>950204978</v>
      </c>
      <c r="F196" s="110">
        <v>46243</v>
      </c>
      <c r="H196" s="4"/>
      <c r="I196" t="s">
        <v>39</v>
      </c>
      <c r="J196" t="s">
        <v>49</v>
      </c>
      <c r="K196" s="6">
        <v>500</v>
      </c>
      <c r="L196" s="22" t="s">
        <v>975</v>
      </c>
      <c r="M196" s="22" t="s">
        <v>971</v>
      </c>
      <c r="N196" s="22" t="s">
        <v>972</v>
      </c>
      <c r="O196" t="s">
        <v>44</v>
      </c>
    </row>
    <row r="197" spans="1:15">
      <c r="A197" s="12">
        <f>ROW() - ROW(Table1[[#Headers],[SL No.]])</f>
        <v>196</v>
      </c>
      <c r="B197" s="17" t="s">
        <v>1</v>
      </c>
      <c r="C197" s="1" t="s">
        <v>976</v>
      </c>
      <c r="D197" s="22" t="s">
        <v>977</v>
      </c>
      <c r="E197" s="5" t="s">
        <v>978</v>
      </c>
      <c r="F197" s="110">
        <v>46245</v>
      </c>
      <c r="G197" t="s">
        <v>38</v>
      </c>
      <c r="H197" s="4"/>
      <c r="I197" t="s">
        <v>39</v>
      </c>
      <c r="K197" s="6">
        <v>350</v>
      </c>
      <c r="L197" s="22" t="s">
        <v>979</v>
      </c>
      <c r="M197" s="22" t="s">
        <v>881</v>
      </c>
      <c r="N197" s="22" t="s">
        <v>472</v>
      </c>
      <c r="O197" t="s">
        <v>44</v>
      </c>
    </row>
    <row r="198" spans="1:15">
      <c r="A198" s="12">
        <f>ROW() - ROW(Table1[[#Headers],[SL No.]])</f>
        <v>197</v>
      </c>
      <c r="B198" s="17" t="s">
        <v>9</v>
      </c>
      <c r="C198" s="1" t="s">
        <v>980</v>
      </c>
      <c r="D198" t="s">
        <v>981</v>
      </c>
      <c r="E198" s="5" t="s">
        <v>982</v>
      </c>
      <c r="F198" s="110">
        <v>46243</v>
      </c>
      <c r="G198" t="s">
        <v>38</v>
      </c>
      <c r="H198" s="4" t="s">
        <v>38</v>
      </c>
      <c r="I198" t="s">
        <v>39</v>
      </c>
      <c r="K198" s="6">
        <v>550</v>
      </c>
      <c r="L198" s="22" t="s">
        <v>880</v>
      </c>
      <c r="M198" s="22" t="s">
        <v>881</v>
      </c>
      <c r="N198" s="22" t="s">
        <v>472</v>
      </c>
      <c r="O198" t="s">
        <v>44</v>
      </c>
    </row>
    <row r="199" spans="1:15">
      <c r="A199" s="12">
        <f>ROW() - ROW(Table1[[#Headers],[SL No.]])</f>
        <v>198</v>
      </c>
      <c r="B199" s="17" t="s">
        <v>6</v>
      </c>
      <c r="C199" s="1" t="s">
        <v>983</v>
      </c>
      <c r="D199" t="s">
        <v>984</v>
      </c>
      <c r="E199" s="109">
        <v>980203414</v>
      </c>
      <c r="F199" s="110">
        <v>46246</v>
      </c>
      <c r="H199" s="4"/>
      <c r="K199" s="6">
        <v>500</v>
      </c>
      <c r="L199" s="22" t="s">
        <v>837</v>
      </c>
      <c r="M199" s="22" t="s">
        <v>985</v>
      </c>
      <c r="N199" s="22" t="s">
        <v>154</v>
      </c>
      <c r="O199" t="s">
        <v>89</v>
      </c>
    </row>
    <row r="200" spans="1:15">
      <c r="A200" s="12">
        <f>ROW() - ROW(Table1[[#Headers],[SL No.]])</f>
        <v>199</v>
      </c>
      <c r="B200" s="17"/>
      <c r="C200" s="1" t="s">
        <v>986</v>
      </c>
      <c r="D200" t="s">
        <v>987</v>
      </c>
      <c r="E200" s="109">
        <v>980103371</v>
      </c>
      <c r="F200" s="110">
        <v>46236</v>
      </c>
      <c r="H200" s="4"/>
      <c r="I200" t="s">
        <v>56</v>
      </c>
      <c r="K200" s="6">
        <v>400</v>
      </c>
      <c r="L200" s="22" t="s">
        <v>988</v>
      </c>
      <c r="M200" s="22" t="s">
        <v>989</v>
      </c>
      <c r="N200" s="22" t="s">
        <v>990</v>
      </c>
      <c r="O200" t="s">
        <v>44</v>
      </c>
    </row>
    <row r="201" spans="1:15">
      <c r="A201" s="12">
        <f>ROW() - ROW(Table1[[#Headers],[SL No.]])</f>
        <v>200</v>
      </c>
      <c r="B201" s="17"/>
      <c r="C201" s="1" t="s">
        <v>991</v>
      </c>
      <c r="D201" t="s">
        <v>992</v>
      </c>
      <c r="E201" s="109">
        <v>940309793</v>
      </c>
      <c r="F201" s="110">
        <v>46233</v>
      </c>
      <c r="G201" t="s">
        <v>38</v>
      </c>
      <c r="H201" s="4"/>
      <c r="I201" t="s">
        <v>56</v>
      </c>
      <c r="J201" t="s">
        <v>49</v>
      </c>
      <c r="K201" s="6">
        <v>550</v>
      </c>
      <c r="L201" s="22" t="s">
        <v>993</v>
      </c>
      <c r="M201" s="22" t="s">
        <v>994</v>
      </c>
      <c r="N201" s="22" t="s">
        <v>995</v>
      </c>
      <c r="O201" t="s">
        <v>44</v>
      </c>
    </row>
    <row r="202" spans="1:15">
      <c r="A202" s="12">
        <f>ROW() - ROW(Table1[[#Headers],[SL No.]])</f>
        <v>201</v>
      </c>
      <c r="B202" s="17" t="s">
        <v>1</v>
      </c>
      <c r="C202" s="1" t="s">
        <v>996</v>
      </c>
      <c r="D202" t="s">
        <v>997</v>
      </c>
      <c r="E202" s="5" t="s">
        <v>998</v>
      </c>
      <c r="F202" s="110">
        <v>46233</v>
      </c>
      <c r="G202" t="s">
        <v>38</v>
      </c>
      <c r="H202" s="4"/>
      <c r="I202" t="s">
        <v>39</v>
      </c>
      <c r="J202" t="s">
        <v>49</v>
      </c>
      <c r="K202" s="6">
        <v>500</v>
      </c>
      <c r="L202" s="22" t="s">
        <v>999</v>
      </c>
      <c r="M202" s="22" t="s">
        <v>873</v>
      </c>
      <c r="N202" s="22" t="s">
        <v>874</v>
      </c>
      <c r="O202" t="s">
        <v>44</v>
      </c>
    </row>
    <row r="203" spans="1:15">
      <c r="A203" s="12">
        <f>ROW() - ROW(Table1[[#Headers],[SL No.]])</f>
        <v>202</v>
      </c>
      <c r="B203" s="17" t="s">
        <v>10</v>
      </c>
      <c r="C203" s="1" t="s">
        <v>1000</v>
      </c>
      <c r="D203" s="22" t="s">
        <v>1001</v>
      </c>
      <c r="E203" s="109">
        <v>970304609</v>
      </c>
      <c r="F203" s="110">
        <v>46223</v>
      </c>
      <c r="G203" t="s">
        <v>38</v>
      </c>
      <c r="H203" s="4" t="s">
        <v>38</v>
      </c>
      <c r="I203" t="s">
        <v>56</v>
      </c>
      <c r="J203" t="s">
        <v>49</v>
      </c>
      <c r="K203" s="6">
        <v>700</v>
      </c>
      <c r="L203" s="22" t="s">
        <v>1002</v>
      </c>
      <c r="M203" s="22" t="s">
        <v>658</v>
      </c>
      <c r="N203" s="22" t="s">
        <v>659</v>
      </c>
      <c r="O203" t="s">
        <v>44</v>
      </c>
    </row>
    <row r="204" spans="1:15">
      <c r="A204" s="12">
        <f>ROW() - ROW(Table1[[#Headers],[SL No.]])</f>
        <v>203</v>
      </c>
      <c r="B204" s="17" t="s">
        <v>536</v>
      </c>
      <c r="C204" s="1" t="s">
        <v>1003</v>
      </c>
      <c r="D204" s="22" t="s">
        <v>1004</v>
      </c>
      <c r="E204" s="5" t="s">
        <v>1005</v>
      </c>
      <c r="F204" s="110">
        <v>46222</v>
      </c>
      <c r="G204" t="s">
        <v>38</v>
      </c>
      <c r="H204" s="4"/>
      <c r="I204" t="s">
        <v>39</v>
      </c>
      <c r="K204" s="6">
        <v>430</v>
      </c>
      <c r="L204" s="22" t="s">
        <v>1006</v>
      </c>
      <c r="M204" s="22" t="s">
        <v>1007</v>
      </c>
      <c r="N204" s="22" t="s">
        <v>1008</v>
      </c>
      <c r="O204" t="s">
        <v>44</v>
      </c>
    </row>
    <row r="205" spans="1:15">
      <c r="A205" s="12">
        <f>ROW() - ROW(Table1[[#Headers],[SL No.]])</f>
        <v>204</v>
      </c>
      <c r="B205" s="17" t="s">
        <v>1</v>
      </c>
      <c r="C205" s="1" t="s">
        <v>1009</v>
      </c>
      <c r="D205" s="22" t="s">
        <v>1010</v>
      </c>
      <c r="E205" s="5" t="s">
        <v>1011</v>
      </c>
      <c r="F205" s="15">
        <v>46209</v>
      </c>
      <c r="G205" t="s">
        <v>38</v>
      </c>
      <c r="H205" s="4" t="s">
        <v>38</v>
      </c>
      <c r="I205" t="s">
        <v>39</v>
      </c>
      <c r="J205" t="s">
        <v>40</v>
      </c>
      <c r="K205" s="6">
        <v>350</v>
      </c>
      <c r="L205" t="s">
        <v>1012</v>
      </c>
      <c r="M205" t="s">
        <v>465</v>
      </c>
      <c r="N205" t="s">
        <v>466</v>
      </c>
      <c r="O205" t="s">
        <v>44</v>
      </c>
    </row>
    <row r="206" spans="1:15">
      <c r="A206" s="3">
        <f>ROW() - ROW(Table1[[#Headers],[SL No.]])</f>
        <v>205</v>
      </c>
      <c r="B206" s="17" t="s">
        <v>536</v>
      </c>
      <c r="C206" t="s">
        <v>1013</v>
      </c>
      <c r="D206" t="s">
        <v>1014</v>
      </c>
      <c r="E206" s="5" t="s">
        <v>1015</v>
      </c>
      <c r="F206" s="15">
        <v>46260</v>
      </c>
      <c r="H206" s="4"/>
      <c r="I206" t="s">
        <v>39</v>
      </c>
      <c r="J206" t="s">
        <v>49</v>
      </c>
      <c r="K206" s="6">
        <v>700</v>
      </c>
      <c r="L206" t="s">
        <v>1016</v>
      </c>
      <c r="M206" t="s">
        <v>822</v>
      </c>
      <c r="N206" t="s">
        <v>823</v>
      </c>
      <c r="O206" t="s">
        <v>44</v>
      </c>
    </row>
    <row r="207" spans="1:15">
      <c r="A207" s="3">
        <f>ROW() - ROW(Table1[[#Headers],[SL No.]])</f>
        <v>206</v>
      </c>
      <c r="B207" s="17" t="s">
        <v>9</v>
      </c>
      <c r="C207" t="s">
        <v>1017</v>
      </c>
      <c r="D207" t="s">
        <v>1018</v>
      </c>
      <c r="E207" s="5" t="s">
        <v>1019</v>
      </c>
      <c r="F207" s="15">
        <v>46260</v>
      </c>
      <c r="H207" s="4"/>
      <c r="I207" t="s">
        <v>39</v>
      </c>
      <c r="J207" t="s">
        <v>49</v>
      </c>
      <c r="K207" s="6">
        <v>500</v>
      </c>
      <c r="L207" t="s">
        <v>86</v>
      </c>
      <c r="M207" t="s">
        <v>1020</v>
      </c>
      <c r="N207" t="s">
        <v>154</v>
      </c>
      <c r="O207" t="s">
        <v>89</v>
      </c>
    </row>
    <row r="208" spans="1:15">
      <c r="A208" s="3">
        <f>ROW() - ROW(Table1[[#Headers],[SL No.]])</f>
        <v>207</v>
      </c>
      <c r="B208" s="17" t="s">
        <v>9</v>
      </c>
      <c r="C208" s="117" t="s">
        <v>1021</v>
      </c>
      <c r="D208" s="22" t="s">
        <v>1022</v>
      </c>
      <c r="E208" s="109">
        <v>891001204</v>
      </c>
      <c r="F208" s="110">
        <v>46257</v>
      </c>
      <c r="H208" s="4"/>
      <c r="K208" s="109">
        <v>1150</v>
      </c>
      <c r="L208" s="22" t="s">
        <v>1023</v>
      </c>
      <c r="M208" s="22" t="s">
        <v>1024</v>
      </c>
      <c r="N208" t="s">
        <v>154</v>
      </c>
      <c r="O208" t="s">
        <v>89</v>
      </c>
    </row>
    <row r="209" spans="1:15">
      <c r="A209" s="3">
        <f>ROW() - ROW(Table1[[#Headers],[SL No.]])</f>
        <v>208</v>
      </c>
      <c r="B209" s="17" t="s">
        <v>9</v>
      </c>
      <c r="C209" s="113" t="s">
        <v>1025</v>
      </c>
      <c r="D209" s="22" t="s">
        <v>1026</v>
      </c>
      <c r="E209" s="5" t="s">
        <v>1027</v>
      </c>
      <c r="F209" s="110">
        <v>46252</v>
      </c>
      <c r="G209" t="s">
        <v>38</v>
      </c>
      <c r="H209" s="4" t="s">
        <v>38</v>
      </c>
      <c r="I209" t="s">
        <v>39</v>
      </c>
      <c r="J209" t="s">
        <v>49</v>
      </c>
      <c r="K209" s="6">
        <v>500</v>
      </c>
      <c r="L209" s="111" t="s">
        <v>1028</v>
      </c>
      <c r="M209" s="111" t="s">
        <v>873</v>
      </c>
      <c r="N209" s="111" t="s">
        <v>874</v>
      </c>
      <c r="O209" t="s">
        <v>44</v>
      </c>
    </row>
    <row r="210" spans="1:15">
      <c r="A210" s="3">
        <f>ROW() - ROW(Table1[[#Headers],[SL No.]])</f>
        <v>209</v>
      </c>
      <c r="B210" s="17" t="s">
        <v>10</v>
      </c>
      <c r="C210" s="40" t="s">
        <v>1029</v>
      </c>
      <c r="D210" t="s">
        <v>1030</v>
      </c>
      <c r="E210" s="5" t="s">
        <v>1031</v>
      </c>
      <c r="F210" s="15">
        <v>46266</v>
      </c>
      <c r="H210" s="4"/>
      <c r="I210" t="s">
        <v>39</v>
      </c>
      <c r="J210" t="s">
        <v>49</v>
      </c>
      <c r="K210" s="6">
        <v>500</v>
      </c>
      <c r="L210" t="s">
        <v>1032</v>
      </c>
      <c r="M210" t="s">
        <v>1033</v>
      </c>
      <c r="N210" t="s">
        <v>154</v>
      </c>
      <c r="O210" t="s">
        <v>89</v>
      </c>
    </row>
    <row r="211" spans="1:15">
      <c r="A211" s="3">
        <f>ROW() - ROW(Table1[[#Headers],[SL No.]])</f>
        <v>210</v>
      </c>
      <c r="B211" s="17" t="s">
        <v>1</v>
      </c>
      <c r="C211" s="1" t="s">
        <v>1034</v>
      </c>
      <c r="D211" s="22" t="s">
        <v>1035</v>
      </c>
      <c r="E211" s="109">
        <v>990100340</v>
      </c>
      <c r="F211" s="110">
        <v>46257</v>
      </c>
      <c r="H211" s="4"/>
      <c r="I211" t="s">
        <v>56</v>
      </c>
      <c r="K211" s="6">
        <v>1000</v>
      </c>
    </row>
    <row r="212" spans="1:15">
      <c r="A212" s="3">
        <f>ROW() - ROW(Table1[[#Headers],[SL No.]])</f>
        <v>211</v>
      </c>
      <c r="B212" s="17" t="s">
        <v>536</v>
      </c>
      <c r="C212" s="1" t="s">
        <v>1036</v>
      </c>
      <c r="D212" t="s">
        <v>1037</v>
      </c>
      <c r="E212" s="109">
        <v>990802485</v>
      </c>
      <c r="F212" s="110">
        <v>46266</v>
      </c>
      <c r="H212" s="4"/>
      <c r="I212" t="s">
        <v>39</v>
      </c>
      <c r="K212" s="6">
        <v>350</v>
      </c>
      <c r="L212" s="111" t="s">
        <v>979</v>
      </c>
      <c r="M212" s="111" t="s">
        <v>1038</v>
      </c>
      <c r="N212" s="111" t="s">
        <v>1039</v>
      </c>
      <c r="O212" t="s">
        <v>44</v>
      </c>
    </row>
    <row r="213" spans="1:15">
      <c r="A213" s="3">
        <f>ROW() - ROW(Table1[[#Headers],[SL No.]])</f>
        <v>212</v>
      </c>
      <c r="B213" s="17" t="s">
        <v>9</v>
      </c>
      <c r="C213" s="1" t="s">
        <v>1040</v>
      </c>
      <c r="D213" t="s">
        <v>1041</v>
      </c>
      <c r="E213" s="5" t="s">
        <v>1042</v>
      </c>
      <c r="F213" s="110">
        <v>46253</v>
      </c>
      <c r="G213" t="s">
        <v>38</v>
      </c>
      <c r="H213" s="4" t="s">
        <v>38</v>
      </c>
      <c r="I213" t="s">
        <v>39</v>
      </c>
      <c r="K213" s="6">
        <v>430</v>
      </c>
      <c r="L213" s="111" t="s">
        <v>1043</v>
      </c>
      <c r="M213" t="s">
        <v>100</v>
      </c>
      <c r="N213" t="s">
        <v>636</v>
      </c>
      <c r="O213" t="s">
        <v>44</v>
      </c>
    </row>
    <row r="214" spans="1:15">
      <c r="A214" s="3">
        <f>ROW() - ROW(Table1[[#Headers],[SL No.]])</f>
        <v>213</v>
      </c>
      <c r="B214" s="17" t="s">
        <v>12</v>
      </c>
      <c r="C214" s="1" t="s">
        <v>1044</v>
      </c>
      <c r="D214" s="22" t="s">
        <v>1045</v>
      </c>
      <c r="E214" s="109">
        <v>860310426</v>
      </c>
      <c r="F214" s="110">
        <v>46266</v>
      </c>
      <c r="H214" s="4"/>
      <c r="I214" t="s">
        <v>56</v>
      </c>
      <c r="J214" t="s">
        <v>49</v>
      </c>
      <c r="K214" s="6">
        <v>500</v>
      </c>
      <c r="L214" t="s">
        <v>927</v>
      </c>
      <c r="M214" t="s">
        <v>1046</v>
      </c>
      <c r="N214" t="s">
        <v>1047</v>
      </c>
      <c r="O214" t="s">
        <v>44</v>
      </c>
    </row>
    <row r="215" spans="1:15">
      <c r="A215" s="3">
        <f>ROW() - ROW(Table1[[#Headers],[SL No.]])</f>
        <v>214</v>
      </c>
      <c r="B215" s="17" t="s">
        <v>9</v>
      </c>
      <c r="C215" s="1" t="s">
        <v>1048</v>
      </c>
      <c r="D215" s="22" t="s">
        <v>1049</v>
      </c>
      <c r="E215" s="109">
        <v>951201069</v>
      </c>
      <c r="F215" s="110">
        <v>46266</v>
      </c>
      <c r="G215" t="s">
        <v>38</v>
      </c>
      <c r="H215" s="4" t="s">
        <v>38</v>
      </c>
      <c r="I215" t="s">
        <v>56</v>
      </c>
      <c r="J215" t="s">
        <v>49</v>
      </c>
      <c r="K215" s="6">
        <v>500</v>
      </c>
      <c r="L215" t="s">
        <v>927</v>
      </c>
      <c r="M215" t="s">
        <v>1046</v>
      </c>
      <c r="N215" t="s">
        <v>1047</v>
      </c>
      <c r="O215" t="s">
        <v>44</v>
      </c>
    </row>
    <row r="216" spans="1:15">
      <c r="A216" s="3">
        <f>ROW() - ROW(Table1[[#Headers],[SL No.]])</f>
        <v>215</v>
      </c>
      <c r="B216" s="17" t="s">
        <v>9</v>
      </c>
      <c r="C216" s="1" t="s">
        <v>1050</v>
      </c>
      <c r="D216" s="22" t="s">
        <v>1051</v>
      </c>
      <c r="E216" s="109" t="s">
        <v>1052</v>
      </c>
      <c r="F216" s="110">
        <v>46266</v>
      </c>
      <c r="H216" s="4"/>
      <c r="I216" t="s">
        <v>56</v>
      </c>
      <c r="K216" s="6">
        <v>500</v>
      </c>
      <c r="L216" t="s">
        <v>927</v>
      </c>
      <c r="M216" t="s">
        <v>1046</v>
      </c>
      <c r="N216" t="s">
        <v>1047</v>
      </c>
      <c r="O216" t="s">
        <v>44</v>
      </c>
    </row>
    <row r="217" spans="1:15">
      <c r="A217" s="3">
        <f>ROW() - ROW(Table1[[#Headers],[SL No.]])</f>
        <v>216</v>
      </c>
      <c r="B217" s="17" t="s">
        <v>1</v>
      </c>
      <c r="C217" s="1" t="s">
        <v>1053</v>
      </c>
      <c r="D217" s="22" t="s">
        <v>1054</v>
      </c>
      <c r="E217" s="109" t="s">
        <v>1055</v>
      </c>
      <c r="F217" s="110">
        <v>46266</v>
      </c>
      <c r="G217" t="s">
        <v>38</v>
      </c>
      <c r="H217" s="4"/>
      <c r="I217" t="s">
        <v>56</v>
      </c>
      <c r="J217" t="s">
        <v>49</v>
      </c>
      <c r="K217" s="6">
        <v>500</v>
      </c>
      <c r="L217" t="s">
        <v>927</v>
      </c>
      <c r="M217" t="s">
        <v>1046</v>
      </c>
      <c r="N217" t="s">
        <v>1047</v>
      </c>
      <c r="O217" t="s">
        <v>44</v>
      </c>
    </row>
    <row r="218" spans="1:15">
      <c r="A218" s="3">
        <f>ROW() - ROW(Table1[[#Headers],[SL No.]])</f>
        <v>217</v>
      </c>
      <c r="B218" s="17" t="s">
        <v>6</v>
      </c>
      <c r="C218" s="113" t="s">
        <v>1056</v>
      </c>
      <c r="D218" s="22" t="s">
        <v>1057</v>
      </c>
      <c r="E218" s="109">
        <v>980605415</v>
      </c>
      <c r="F218" s="110">
        <v>46266</v>
      </c>
      <c r="G218" t="s">
        <v>38</v>
      </c>
      <c r="H218" s="4" t="s">
        <v>38</v>
      </c>
      <c r="I218" t="s">
        <v>56</v>
      </c>
      <c r="K218" s="6">
        <v>350</v>
      </c>
      <c r="L218" s="22" t="s">
        <v>1058</v>
      </c>
      <c r="M218" s="22" t="s">
        <v>1059</v>
      </c>
      <c r="N218" s="22" t="s">
        <v>1060</v>
      </c>
      <c r="O218" t="s">
        <v>44</v>
      </c>
    </row>
    <row r="219" spans="1:15">
      <c r="A219" s="3">
        <f>ROW() - ROW(Table1[[#Headers],[SL No.]])</f>
        <v>218</v>
      </c>
      <c r="B219" s="17" t="s">
        <v>6</v>
      </c>
      <c r="C219" s="1" t="s">
        <v>1061</v>
      </c>
      <c r="D219" s="120" t="s">
        <v>1062</v>
      </c>
      <c r="E219" s="5" t="s">
        <v>1063</v>
      </c>
      <c r="F219" s="121">
        <v>46280</v>
      </c>
      <c r="G219" t="s">
        <v>38</v>
      </c>
      <c r="H219" s="4" t="s">
        <v>38</v>
      </c>
      <c r="I219" t="s">
        <v>39</v>
      </c>
      <c r="J219" t="s">
        <v>49</v>
      </c>
      <c r="K219" s="122">
        <v>800</v>
      </c>
      <c r="L219" s="120" t="s">
        <v>1064</v>
      </c>
      <c r="M219" s="120" t="s">
        <v>1065</v>
      </c>
      <c r="N219" s="120" t="s">
        <v>1066</v>
      </c>
      <c r="O219" t="s">
        <v>44</v>
      </c>
    </row>
    <row r="220" spans="1:15">
      <c r="A220" s="3">
        <f>ROW() - ROW(Table1[[#Headers],[SL No.]])</f>
        <v>219</v>
      </c>
      <c r="B220" s="17" t="s">
        <v>12</v>
      </c>
      <c r="C220" s="1" t="s">
        <v>1067</v>
      </c>
      <c r="D220" s="22" t="s">
        <v>1068</v>
      </c>
      <c r="E220" s="109">
        <v>840203632</v>
      </c>
      <c r="F220" s="4">
        <v>46266</v>
      </c>
      <c r="G220" t="s">
        <v>38</v>
      </c>
      <c r="H220" s="4"/>
      <c r="I220" t="s">
        <v>39</v>
      </c>
      <c r="K220" s="6">
        <v>800</v>
      </c>
      <c r="L220" s="22" t="s">
        <v>1069</v>
      </c>
      <c r="M220" s="22" t="s">
        <v>1070</v>
      </c>
      <c r="N220" s="22" t="s">
        <v>1071</v>
      </c>
      <c r="O220" t="s">
        <v>44</v>
      </c>
    </row>
    <row r="221" spans="1:15">
      <c r="A221" s="3">
        <f>ROW() - ROW(Table1[[#Headers],[SL No.]])</f>
        <v>220</v>
      </c>
      <c r="B221" s="17" t="s">
        <v>12</v>
      </c>
      <c r="C221" s="113" t="s">
        <v>1072</v>
      </c>
      <c r="D221" t="s">
        <v>1073</v>
      </c>
      <c r="E221" s="109">
        <v>941201945</v>
      </c>
      <c r="F221" s="110">
        <v>46266</v>
      </c>
      <c r="G221" t="s">
        <v>38</v>
      </c>
      <c r="H221" s="4" t="s">
        <v>38</v>
      </c>
      <c r="I221" t="s">
        <v>39</v>
      </c>
      <c r="J221" t="s">
        <v>49</v>
      </c>
      <c r="K221" s="6">
        <v>750</v>
      </c>
      <c r="L221" s="22" t="s">
        <v>1074</v>
      </c>
      <c r="M221" s="22" t="s">
        <v>942</v>
      </c>
      <c r="N221" s="22" t="s">
        <v>943</v>
      </c>
      <c r="O221" t="s">
        <v>44</v>
      </c>
    </row>
    <row r="222" spans="1:15">
      <c r="A222" s="3">
        <f>ROW() - ROW(Table1[[#Headers],[SL No.]])</f>
        <v>221</v>
      </c>
      <c r="B222" s="17" t="s">
        <v>12</v>
      </c>
      <c r="C222" s="113" t="s">
        <v>1075</v>
      </c>
      <c r="D222" s="22" t="s">
        <v>1076</v>
      </c>
      <c r="E222" s="109">
        <v>851002676</v>
      </c>
      <c r="F222" s="110">
        <v>46266</v>
      </c>
      <c r="G222" t="s">
        <v>38</v>
      </c>
      <c r="H222" s="4"/>
      <c r="I222" t="s">
        <v>56</v>
      </c>
      <c r="J222" t="s">
        <v>49</v>
      </c>
      <c r="K222" s="6">
        <v>500</v>
      </c>
      <c r="L222" s="123" t="s">
        <v>1077</v>
      </c>
      <c r="M222" s="123" t="s">
        <v>1046</v>
      </c>
      <c r="N222" s="123" t="s">
        <v>1047</v>
      </c>
      <c r="O222" t="s">
        <v>44</v>
      </c>
    </row>
    <row r="223" spans="1:15">
      <c r="A223" s="3">
        <f>ROW() - ROW(Table1[[#Headers],[SL No.]])</f>
        <v>222</v>
      </c>
      <c r="B223" s="17" t="s">
        <v>12</v>
      </c>
      <c r="C223" s="113" t="s">
        <v>1078</v>
      </c>
      <c r="D223" s="22" t="s">
        <v>1079</v>
      </c>
      <c r="E223" s="5" t="s">
        <v>1080</v>
      </c>
      <c r="F223" s="110">
        <v>46264</v>
      </c>
      <c r="G223" t="s">
        <v>38</v>
      </c>
      <c r="H223" s="4"/>
      <c r="J223" t="s">
        <v>49</v>
      </c>
      <c r="K223" s="6">
        <v>600</v>
      </c>
      <c r="L223" s="123" t="s">
        <v>1028</v>
      </c>
      <c r="M223" s="123" t="s">
        <v>1081</v>
      </c>
      <c r="N223" s="123" t="s">
        <v>1082</v>
      </c>
      <c r="O223" t="s">
        <v>44</v>
      </c>
    </row>
    <row r="224" spans="1:15">
      <c r="A224" s="3">
        <f>ROW() - ROW(Table1[[#Headers],[SL No.]])</f>
        <v>223</v>
      </c>
      <c r="B224" s="17" t="s">
        <v>9</v>
      </c>
      <c r="C224" s="113" t="s">
        <v>1083</v>
      </c>
      <c r="D224" s="22" t="s">
        <v>1084</v>
      </c>
      <c r="E224" s="109">
        <v>900907150</v>
      </c>
      <c r="F224" s="110">
        <v>46258</v>
      </c>
      <c r="G224" t="s">
        <v>38</v>
      </c>
      <c r="H224" s="4" t="s">
        <v>38</v>
      </c>
      <c r="K224" s="6">
        <v>450</v>
      </c>
      <c r="L224" s="123" t="s">
        <v>993</v>
      </c>
      <c r="M224" s="123" t="s">
        <v>873</v>
      </c>
      <c r="N224" s="123" t="s">
        <v>874</v>
      </c>
      <c r="O224" t="s">
        <v>44</v>
      </c>
    </row>
    <row r="225" spans="1:15">
      <c r="A225" s="3">
        <f>ROW() - ROW(Table1[[#Headers],[SL No.]])</f>
        <v>224</v>
      </c>
      <c r="B225" s="17" t="s">
        <v>9</v>
      </c>
      <c r="C225" s="113" t="s">
        <v>1085</v>
      </c>
      <c r="D225" s="22" t="s">
        <v>1086</v>
      </c>
      <c r="E225" s="109">
        <v>971107335</v>
      </c>
      <c r="F225" s="110">
        <v>46253</v>
      </c>
      <c r="H225" s="4"/>
      <c r="K225" s="6">
        <v>430</v>
      </c>
      <c r="L225" s="22" t="s">
        <v>1043</v>
      </c>
      <c r="M225" s="22" t="s">
        <v>100</v>
      </c>
      <c r="N225" s="22" t="s">
        <v>636</v>
      </c>
      <c r="O225" t="s">
        <v>44</v>
      </c>
    </row>
    <row r="226" spans="1:15">
      <c r="A226" s="3">
        <f>ROW() - ROW(Table1[[#Headers],[SL No.]])</f>
        <v>225</v>
      </c>
      <c r="B226" s="17" t="s">
        <v>9</v>
      </c>
      <c r="C226" s="113" t="s">
        <v>1087</v>
      </c>
      <c r="D226" s="22" t="s">
        <v>1088</v>
      </c>
      <c r="E226" s="109">
        <v>910204969</v>
      </c>
      <c r="F226" s="110">
        <v>46253</v>
      </c>
      <c r="H226" s="4"/>
      <c r="K226" s="6">
        <v>430</v>
      </c>
      <c r="L226" s="22" t="s">
        <v>1089</v>
      </c>
      <c r="M226" s="22" t="s">
        <v>100</v>
      </c>
      <c r="N226" s="22" t="s">
        <v>636</v>
      </c>
      <c r="O226" t="s">
        <v>44</v>
      </c>
    </row>
    <row r="227" spans="1:15">
      <c r="A227" s="3">
        <f>ROW() - ROW(Table1[[#Headers],[SL No.]])</f>
        <v>226</v>
      </c>
      <c r="B227" s="17"/>
      <c r="C227" s="113" t="s">
        <v>1090</v>
      </c>
      <c r="D227" s="22" t="s">
        <v>1091</v>
      </c>
      <c r="E227" s="109">
        <v>980702160</v>
      </c>
      <c r="F227" s="110">
        <v>46253</v>
      </c>
      <c r="G227" t="s">
        <v>38</v>
      </c>
      <c r="H227" s="4" t="s">
        <v>38</v>
      </c>
      <c r="K227" s="6">
        <v>630</v>
      </c>
      <c r="L227" s="22" t="s">
        <v>963</v>
      </c>
      <c r="M227" s="22" t="s">
        <v>523</v>
      </c>
      <c r="N227" s="22" t="s">
        <v>182</v>
      </c>
      <c r="O227" t="s">
        <v>44</v>
      </c>
    </row>
    <row r="228" spans="1:15">
      <c r="A228" s="3">
        <f>ROW() - ROW(Table1[[#Headers],[SL No.]])</f>
        <v>227</v>
      </c>
      <c r="B228" s="17"/>
      <c r="C228" s="1"/>
      <c r="E228" s="5"/>
      <c r="F228" s="15" t="s">
        <v>301</v>
      </c>
      <c r="H228" s="4"/>
      <c r="K228" s="6"/>
    </row>
    <row r="229" spans="1:15">
      <c r="A229" s="3">
        <f>ROW() - ROW(Table1[[#Headers],[SL No.]])</f>
        <v>228</v>
      </c>
      <c r="B229" s="17"/>
      <c r="C229" s="1"/>
      <c r="E229" s="5"/>
      <c r="F229" s="15" t="s">
        <v>301</v>
      </c>
      <c r="H229" s="4"/>
      <c r="K229" s="6"/>
    </row>
    <row r="230" spans="1:15">
      <c r="A230" s="3">
        <f>ROW() - ROW(Table1[[#Headers],[SL No.]])</f>
        <v>229</v>
      </c>
      <c r="B230" s="17"/>
      <c r="C230" s="1"/>
      <c r="E230" s="5"/>
      <c r="F230" s="15" t="s">
        <v>301</v>
      </c>
      <c r="H230" s="4"/>
      <c r="K230" s="6"/>
    </row>
    <row r="231" spans="1:15">
      <c r="A231" s="3">
        <f>ROW() - ROW(Table1[[#Headers],[SL No.]])</f>
        <v>230</v>
      </c>
      <c r="B231" s="17"/>
      <c r="C231" s="1"/>
      <c r="E231" s="5"/>
      <c r="F231" s="15" t="s">
        <v>301</v>
      </c>
      <c r="H231" s="4"/>
      <c r="K231" s="6"/>
    </row>
    <row r="232" spans="1:15">
      <c r="A232" s="3">
        <f>ROW() - ROW(Table1[[#Headers],[SL No.]])</f>
        <v>231</v>
      </c>
      <c r="B232" s="17"/>
      <c r="C232" s="1"/>
      <c r="E232" s="5"/>
      <c r="F232" s="15" t="s">
        <v>301</v>
      </c>
      <c r="H232" s="4"/>
      <c r="K232" s="6"/>
    </row>
    <row r="233" spans="1:15">
      <c r="A233" s="3">
        <f>ROW() - ROW(Table1[[#Headers],[SL No.]])</f>
        <v>232</v>
      </c>
      <c r="B233" s="17"/>
      <c r="C233" s="1"/>
      <c r="E233" s="5"/>
      <c r="F233" s="15" t="s">
        <v>301</v>
      </c>
      <c r="H233" s="4"/>
      <c r="K233" s="6"/>
    </row>
    <row r="234" spans="1:15">
      <c r="A234" s="3">
        <f>ROW() - ROW(Table1[[#Headers],[SL No.]])</f>
        <v>233</v>
      </c>
      <c r="B234" s="17"/>
      <c r="C234" s="1"/>
      <c r="E234" s="5"/>
      <c r="F234" s="15" t="s">
        <v>301</v>
      </c>
      <c r="H234" s="4"/>
      <c r="K234" s="6"/>
    </row>
    <row r="235" spans="1:15">
      <c r="A235" s="3">
        <f>ROW() - ROW(Table1[[#Headers],[SL No.]])</f>
        <v>234</v>
      </c>
      <c r="B235" s="17"/>
      <c r="C235" s="1"/>
      <c r="E235" s="5"/>
      <c r="F235" s="15" t="s">
        <v>301</v>
      </c>
      <c r="H235" s="4"/>
      <c r="K235" s="6"/>
    </row>
    <row r="236" spans="1:15">
      <c r="A236" s="3">
        <f>ROW() - ROW(Table1[[#Headers],[SL No.]])</f>
        <v>235</v>
      </c>
      <c r="B236" s="17"/>
      <c r="C236" s="1"/>
      <c r="E236" s="5"/>
      <c r="F236" s="15" t="s">
        <v>301</v>
      </c>
      <c r="H236" s="4"/>
      <c r="K236" s="6"/>
    </row>
    <row r="237" spans="1:15">
      <c r="A237" s="3">
        <f>ROW() - ROW(Table1[[#Headers],[SL No.]])</f>
        <v>236</v>
      </c>
      <c r="B237" s="17"/>
      <c r="C237" s="1"/>
      <c r="E237" s="5"/>
      <c r="F237" s="15" t="s">
        <v>301</v>
      </c>
      <c r="H237" s="4"/>
      <c r="K237" s="6"/>
    </row>
    <row r="238" spans="1:15">
      <c r="A238" s="3">
        <f>ROW() - ROW(Table1[[#Headers],[SL No.]])</f>
        <v>237</v>
      </c>
      <c r="B238" s="17"/>
      <c r="C238" s="1"/>
      <c r="E238" s="5"/>
      <c r="F238" s="15" t="s">
        <v>301</v>
      </c>
      <c r="H238" s="4"/>
      <c r="K238" s="6"/>
    </row>
    <row r="239" spans="1:15">
      <c r="A239" s="3">
        <f>ROW() - ROW(Table1[[#Headers],[SL No.]])</f>
        <v>238</v>
      </c>
      <c r="B239" s="17"/>
      <c r="C239" s="1"/>
      <c r="E239" s="5"/>
      <c r="F239" s="15" t="s">
        <v>301</v>
      </c>
      <c r="H239" s="4"/>
      <c r="K239" s="6"/>
    </row>
    <row r="240" spans="1:15">
      <c r="A240" s="3">
        <f>ROW() - ROW(Table1[[#Headers],[SL No.]])</f>
        <v>239</v>
      </c>
      <c r="B240" s="17"/>
      <c r="C240" s="1"/>
      <c r="E240" s="5"/>
      <c r="F240" s="15" t="s">
        <v>301</v>
      </c>
      <c r="H240" s="4"/>
      <c r="K240" s="6"/>
    </row>
    <row r="241" spans="1:11">
      <c r="A241" s="3">
        <f>ROW() - ROW(Table1[[#Headers],[SL No.]])</f>
        <v>240</v>
      </c>
      <c r="B241" s="17"/>
      <c r="C241" s="1"/>
      <c r="E241" s="5"/>
      <c r="F241" s="15" t="s">
        <v>301</v>
      </c>
      <c r="H241" s="4"/>
      <c r="K241" s="6"/>
    </row>
    <row r="242" spans="1:11">
      <c r="A242" s="3">
        <f>ROW() - ROW(Table1[[#Headers],[SL No.]])</f>
        <v>241</v>
      </c>
      <c r="B242" s="17"/>
      <c r="C242" s="1"/>
      <c r="E242" s="5"/>
      <c r="F242" s="15" t="s">
        <v>301</v>
      </c>
      <c r="H242" s="4"/>
      <c r="K242" s="6"/>
    </row>
    <row r="243" spans="1:11">
      <c r="A243" s="3">
        <f>ROW() - ROW(Table1[[#Headers],[SL No.]])</f>
        <v>242</v>
      </c>
      <c r="B243" s="17"/>
      <c r="C243" s="1"/>
      <c r="E243" s="5"/>
      <c r="F243" s="15" t="s">
        <v>301</v>
      </c>
      <c r="H243" s="4"/>
      <c r="K243" s="6"/>
    </row>
    <row r="244" spans="1:11">
      <c r="A244" s="3">
        <f>ROW() - ROW(Table1[[#Headers],[SL No.]])</f>
        <v>243</v>
      </c>
      <c r="B244" s="17"/>
      <c r="C244" s="1"/>
      <c r="E244" s="5"/>
      <c r="F244" s="15" t="s">
        <v>301</v>
      </c>
      <c r="H244" s="4"/>
      <c r="K244" s="6"/>
    </row>
    <row r="245" spans="1:11">
      <c r="A245" s="3">
        <f>ROW() - ROW(Table1[[#Headers],[SL No.]])</f>
        <v>244</v>
      </c>
      <c r="B245" s="17"/>
      <c r="C245" s="1"/>
      <c r="E245" s="5"/>
      <c r="F245" s="15" t="s">
        <v>301</v>
      </c>
      <c r="H245" s="4"/>
      <c r="K245" s="6"/>
    </row>
    <row r="246" spans="1:11">
      <c r="A246" s="3">
        <f>ROW() - ROW(Table1[[#Headers],[SL No.]])</f>
        <v>245</v>
      </c>
      <c r="B246" s="17"/>
      <c r="C246" s="1"/>
      <c r="E246" s="5"/>
      <c r="F246" s="15" t="s">
        <v>301</v>
      </c>
      <c r="H246" s="4"/>
      <c r="K246" s="6"/>
    </row>
    <row r="247" spans="1:11">
      <c r="A247" s="3">
        <f>ROW() - ROW(Table1[[#Headers],[SL No.]])</f>
        <v>246</v>
      </c>
      <c r="B247" s="17"/>
      <c r="C247" s="1"/>
      <c r="E247" s="5"/>
      <c r="F247" s="15" t="s">
        <v>301</v>
      </c>
      <c r="H247" s="4"/>
      <c r="K247" s="6"/>
    </row>
    <row r="248" spans="1:11">
      <c r="A248" s="3">
        <f>ROW() - ROW(Table1[[#Headers],[SL No.]])</f>
        <v>247</v>
      </c>
      <c r="B248" s="17"/>
      <c r="C248" s="1"/>
      <c r="E248" s="5"/>
      <c r="F248" s="15" t="s">
        <v>301</v>
      </c>
      <c r="H248" s="4"/>
      <c r="K248" s="6"/>
    </row>
    <row r="249" spans="1:11">
      <c r="A249" s="3">
        <f>ROW() - ROW(Table1[[#Headers],[SL No.]])</f>
        <v>248</v>
      </c>
      <c r="B249" s="17"/>
      <c r="C249" s="1"/>
      <c r="E249" s="5"/>
      <c r="F249" s="15" t="s">
        <v>301</v>
      </c>
      <c r="H249" s="4"/>
      <c r="K249" s="6"/>
    </row>
    <row r="250" spans="1:11">
      <c r="A250" s="3">
        <f>ROW() - ROW(Table1[[#Headers],[SL No.]])</f>
        <v>249</v>
      </c>
      <c r="B250" s="17"/>
      <c r="C250" s="1"/>
      <c r="E250" s="5"/>
      <c r="F250" s="15" t="s">
        <v>301</v>
      </c>
      <c r="H250" s="4"/>
      <c r="K250" s="6"/>
    </row>
    <row r="251" spans="1:11">
      <c r="A251" s="3">
        <f>ROW() - ROW(Table1[[#Headers],[SL No.]])</f>
        <v>250</v>
      </c>
      <c r="B251" s="17"/>
      <c r="C251" s="1"/>
      <c r="E251" s="5"/>
      <c r="F251" s="15" t="s">
        <v>301</v>
      </c>
      <c r="H251" s="4"/>
      <c r="K251" s="6"/>
    </row>
    <row r="252" spans="1:11">
      <c r="A252" s="3">
        <f>ROW() - ROW(Table1[[#Headers],[SL No.]])</f>
        <v>251</v>
      </c>
      <c r="B252" s="17"/>
      <c r="C252" s="1"/>
      <c r="E252" s="5"/>
      <c r="F252" s="15" t="s">
        <v>301</v>
      </c>
      <c r="H252" s="4"/>
      <c r="K252" s="6"/>
    </row>
    <row r="253" spans="1:11">
      <c r="A253" s="3">
        <f>ROW() - ROW(Table1[[#Headers],[SL No.]])</f>
        <v>252</v>
      </c>
      <c r="B253" s="17"/>
      <c r="C253" s="1"/>
      <c r="E253" s="5"/>
      <c r="F253" s="15" t="s">
        <v>301</v>
      </c>
      <c r="H253" s="4"/>
      <c r="K253" s="6"/>
    </row>
    <row r="254" spans="1:11">
      <c r="A254" s="3">
        <f>ROW() - ROW(Table1[[#Headers],[SL No.]])</f>
        <v>253</v>
      </c>
      <c r="B254" s="17"/>
      <c r="C254" s="1"/>
      <c r="E254" s="5"/>
      <c r="F254" s="15" t="s">
        <v>301</v>
      </c>
      <c r="H254" s="4"/>
      <c r="K254" s="6"/>
    </row>
    <row r="255" spans="1:11">
      <c r="A255" s="3">
        <f>ROW() - ROW(Table1[[#Headers],[SL No.]])</f>
        <v>254</v>
      </c>
      <c r="B255" s="17"/>
      <c r="C255" s="1"/>
      <c r="E255" s="5"/>
      <c r="F255" s="15" t="s">
        <v>301</v>
      </c>
      <c r="H255" s="4"/>
      <c r="K255" s="6"/>
    </row>
    <row r="256" spans="1:11">
      <c r="A256" s="3">
        <f>ROW() - ROW(Table1[[#Headers],[SL No.]])</f>
        <v>255</v>
      </c>
      <c r="B256" s="17"/>
      <c r="C256" s="1"/>
      <c r="E256" s="5"/>
      <c r="F256" s="15" t="s">
        <v>301</v>
      </c>
      <c r="H256" s="4"/>
      <c r="K256" s="6"/>
    </row>
    <row r="257" spans="1:11">
      <c r="A257" s="3">
        <f>ROW() - ROW(Table1[[#Headers],[SL No.]])</f>
        <v>256</v>
      </c>
      <c r="B257" s="17"/>
      <c r="C257" s="1"/>
      <c r="E257" s="5"/>
      <c r="F257" s="15" t="s">
        <v>301</v>
      </c>
      <c r="H257" s="4"/>
      <c r="K257" s="6"/>
    </row>
    <row r="258" spans="1:11">
      <c r="A258" s="3">
        <f>ROW() - ROW(Table1[[#Headers],[SL No.]])</f>
        <v>257</v>
      </c>
      <c r="B258" s="17"/>
      <c r="C258" s="1"/>
      <c r="E258" s="5"/>
      <c r="F258" s="15" t="s">
        <v>301</v>
      </c>
      <c r="H258" s="4"/>
      <c r="K258" s="6"/>
    </row>
    <row r="259" spans="1:11">
      <c r="A259" s="3">
        <f>ROW() - ROW(Table1[[#Headers],[SL No.]])</f>
        <v>258</v>
      </c>
      <c r="B259" s="17"/>
      <c r="C259" s="1"/>
      <c r="E259" s="5"/>
      <c r="F259" s="15" t="s">
        <v>301</v>
      </c>
      <c r="H259" s="4"/>
      <c r="K259" s="6"/>
    </row>
    <row r="260" spans="1:11">
      <c r="A260" s="3">
        <f>ROW() - ROW(Table1[[#Headers],[SL No.]])</f>
        <v>259</v>
      </c>
      <c r="B260" s="17"/>
      <c r="C260" s="1"/>
      <c r="E260" s="5"/>
      <c r="F260" s="15" t="s">
        <v>301</v>
      </c>
      <c r="H260" s="4"/>
      <c r="K260" s="6"/>
    </row>
    <row r="261" spans="1:11">
      <c r="A261" s="3">
        <f>ROW() - ROW(Table1[[#Headers],[SL No.]])</f>
        <v>260</v>
      </c>
      <c r="B261" s="17"/>
      <c r="C261" s="1"/>
      <c r="E261" s="5"/>
      <c r="F261" s="15" t="s">
        <v>301</v>
      </c>
      <c r="H261" s="4"/>
      <c r="K261" s="6"/>
    </row>
    <row r="262" spans="1:11">
      <c r="A262" s="3">
        <f>ROW() - ROW(Table1[[#Headers],[SL No.]])</f>
        <v>261</v>
      </c>
      <c r="B262" s="17"/>
      <c r="C262" s="1"/>
      <c r="E262" s="5"/>
      <c r="F262" s="15" t="s">
        <v>301</v>
      </c>
      <c r="H262" s="4"/>
      <c r="K262" s="6"/>
    </row>
    <row r="263" spans="1:11">
      <c r="A263" s="3">
        <f>ROW() - ROW(Table1[[#Headers],[SL No.]])</f>
        <v>262</v>
      </c>
      <c r="B263" s="17"/>
      <c r="C263" s="1"/>
      <c r="E263" s="5"/>
      <c r="F263" s="15" t="s">
        <v>301</v>
      </c>
      <c r="H263" s="4"/>
      <c r="K263" s="6"/>
    </row>
    <row r="264" spans="1:11">
      <c r="A264" s="3">
        <f>ROW() - ROW(Table1[[#Headers],[SL No.]])</f>
        <v>263</v>
      </c>
      <c r="B264" s="17"/>
      <c r="C264" s="1"/>
      <c r="E264" s="5"/>
      <c r="F264" s="15" t="s">
        <v>301</v>
      </c>
      <c r="H264" s="4"/>
      <c r="K264" s="6"/>
    </row>
    <row r="265" spans="1:11">
      <c r="A265" s="3">
        <f>ROW() - ROW(Table1[[#Headers],[SL No.]])</f>
        <v>264</v>
      </c>
      <c r="B265" s="17"/>
      <c r="C265" s="1"/>
      <c r="E265" s="5"/>
      <c r="F265" s="15" t="s">
        <v>301</v>
      </c>
      <c r="H265" s="4"/>
      <c r="K265" s="6"/>
    </row>
    <row r="266" spans="1:11">
      <c r="A266" s="3">
        <f>ROW() - ROW(Table1[[#Headers],[SL No.]])</f>
        <v>265</v>
      </c>
      <c r="B266" s="17"/>
      <c r="C266" s="1"/>
      <c r="E266" s="5"/>
      <c r="F266" s="15" t="s">
        <v>301</v>
      </c>
      <c r="H266" s="4"/>
      <c r="K266" s="6"/>
    </row>
    <row r="267" spans="1:11">
      <c r="A267" s="3">
        <f>ROW() - ROW(Table1[[#Headers],[SL No.]])</f>
        <v>266</v>
      </c>
      <c r="B267" s="17"/>
      <c r="C267" s="1"/>
      <c r="E267" s="5"/>
      <c r="F267" s="15" t="s">
        <v>301</v>
      </c>
      <c r="H267" s="4"/>
      <c r="K267" s="6"/>
    </row>
    <row r="268" spans="1:11">
      <c r="A268" s="3">
        <f>ROW() - ROW(Table1[[#Headers],[SL No.]])</f>
        <v>267</v>
      </c>
      <c r="B268" s="17"/>
      <c r="C268" s="1"/>
      <c r="E268" s="5"/>
      <c r="F268" s="15" t="s">
        <v>301</v>
      </c>
      <c r="H268" s="4"/>
      <c r="K268" s="6"/>
    </row>
    <row r="269" spans="1:11">
      <c r="A269" s="3">
        <f>ROW() - ROW(Table1[[#Headers],[SL No.]])</f>
        <v>268</v>
      </c>
      <c r="B269" s="17"/>
      <c r="C269" s="1"/>
      <c r="E269" s="5"/>
      <c r="F269" s="15" t="s">
        <v>301</v>
      </c>
      <c r="H269" s="4"/>
      <c r="K269" s="6"/>
    </row>
    <row r="270" spans="1:11">
      <c r="A270" s="3">
        <f>ROW() - ROW(Table1[[#Headers],[SL No.]])</f>
        <v>269</v>
      </c>
      <c r="B270" s="17"/>
      <c r="C270" s="1"/>
      <c r="E270" s="5"/>
      <c r="F270" s="15" t="s">
        <v>301</v>
      </c>
      <c r="H270" s="4"/>
      <c r="K270" s="6"/>
    </row>
    <row r="271" spans="1:11">
      <c r="A271" s="3">
        <f>ROW() - ROW(Table1[[#Headers],[SL No.]])</f>
        <v>270</v>
      </c>
      <c r="B271" s="17"/>
      <c r="C271" s="1"/>
      <c r="E271" s="5"/>
      <c r="F271" s="15" t="s">
        <v>301</v>
      </c>
      <c r="H271" s="4"/>
      <c r="K271" s="6"/>
    </row>
    <row r="272" spans="1:11">
      <c r="A272" s="3">
        <f>ROW() - ROW(Table1[[#Headers],[SL No.]])</f>
        <v>271</v>
      </c>
      <c r="B272" s="17"/>
      <c r="C272" s="1"/>
      <c r="E272" s="5"/>
      <c r="F272" s="15" t="s">
        <v>301</v>
      </c>
      <c r="H272" s="4"/>
      <c r="K272" s="6"/>
    </row>
    <row r="273" spans="1:11">
      <c r="A273" s="3">
        <f>ROW() - ROW(Table1[[#Headers],[SL No.]])</f>
        <v>272</v>
      </c>
      <c r="B273" s="17"/>
      <c r="C273" s="1"/>
      <c r="E273" s="5"/>
      <c r="F273" s="15" t="s">
        <v>301</v>
      </c>
      <c r="H273" s="4"/>
      <c r="K273" s="6"/>
    </row>
    <row r="274" spans="1:11">
      <c r="A274" s="3">
        <f>ROW() - ROW(Table1[[#Headers],[SL No.]])</f>
        <v>273</v>
      </c>
      <c r="B274" s="17"/>
      <c r="C274" s="1"/>
      <c r="E274" s="5"/>
      <c r="F274" s="15" t="s">
        <v>301</v>
      </c>
      <c r="H274" s="4"/>
      <c r="K274" s="6"/>
    </row>
    <row r="275" spans="1:11">
      <c r="A275" s="3">
        <f>ROW() - ROW(Table1[[#Headers],[SL No.]])</f>
        <v>274</v>
      </c>
      <c r="B275" s="17"/>
      <c r="C275" s="1"/>
      <c r="E275" s="5"/>
      <c r="F275" s="15" t="s">
        <v>301</v>
      </c>
      <c r="H275" s="4"/>
      <c r="K275" s="6"/>
    </row>
    <row r="276" spans="1:11">
      <c r="A276" s="3">
        <f>ROW() - ROW(Table1[[#Headers],[SL No.]])</f>
        <v>275</v>
      </c>
      <c r="B276" s="17"/>
      <c r="C276" s="1"/>
      <c r="E276" s="5"/>
      <c r="F276" s="15" t="s">
        <v>301</v>
      </c>
      <c r="H276" s="4"/>
      <c r="K276" s="6"/>
    </row>
    <row r="277" spans="1:11">
      <c r="A277" s="3">
        <f>ROW() - ROW(Table1[[#Headers],[SL No.]])</f>
        <v>276</v>
      </c>
      <c r="B277" s="17"/>
      <c r="C277" s="1"/>
      <c r="E277" s="5"/>
      <c r="F277" s="15" t="s">
        <v>301</v>
      </c>
      <c r="H277" s="4"/>
      <c r="K277" s="6"/>
    </row>
    <row r="278" spans="1:11">
      <c r="A278" s="3">
        <f>ROW() - ROW(Table1[[#Headers],[SL No.]])</f>
        <v>277</v>
      </c>
      <c r="B278" s="17"/>
      <c r="C278" s="1"/>
      <c r="E278" s="5"/>
      <c r="F278" s="15" t="s">
        <v>301</v>
      </c>
      <c r="H278" s="4"/>
      <c r="K278" s="6"/>
    </row>
    <row r="279" spans="1:11">
      <c r="A279" s="3">
        <f>ROW() - ROW(Table1[[#Headers],[SL No.]])</f>
        <v>278</v>
      </c>
      <c r="B279" s="17"/>
      <c r="C279" s="1"/>
      <c r="E279" s="5"/>
      <c r="F279" s="15" t="s">
        <v>301</v>
      </c>
      <c r="H279" s="4"/>
      <c r="K279" s="6"/>
    </row>
    <row r="280" spans="1:11">
      <c r="A280" s="3">
        <f>ROW() - ROW(Table1[[#Headers],[SL No.]])</f>
        <v>279</v>
      </c>
      <c r="B280" s="17"/>
      <c r="C280" s="1"/>
      <c r="E280" s="5"/>
      <c r="F280" s="15" t="s">
        <v>301</v>
      </c>
      <c r="H280" s="4"/>
      <c r="K280" s="6"/>
    </row>
    <row r="281" spans="1:11">
      <c r="A281" s="3">
        <f>ROW() - ROW(Table1[[#Headers],[SL No.]])</f>
        <v>280</v>
      </c>
      <c r="B281" s="17"/>
      <c r="C281" s="1"/>
      <c r="E281" s="5"/>
      <c r="F281" s="15" t="s">
        <v>301</v>
      </c>
      <c r="H281" s="4"/>
      <c r="K281" s="6"/>
    </row>
    <row r="282" spans="1:11">
      <c r="A282" s="3">
        <f>ROW() - ROW(Table1[[#Headers],[SL No.]])</f>
        <v>281</v>
      </c>
      <c r="B282" s="17"/>
      <c r="C282" s="1"/>
      <c r="E282" s="5"/>
      <c r="F282" s="15" t="s">
        <v>301</v>
      </c>
      <c r="H282" s="4"/>
      <c r="K282" s="6"/>
    </row>
    <row r="283" spans="1:11">
      <c r="A283" s="3">
        <f>ROW() - ROW(Table1[[#Headers],[SL No.]])</f>
        <v>282</v>
      </c>
      <c r="B283" s="17"/>
      <c r="C283" s="1"/>
      <c r="E283" s="5"/>
      <c r="F283" s="15" t="s">
        <v>301</v>
      </c>
      <c r="H283" s="4"/>
      <c r="K283" s="6"/>
    </row>
    <row r="284" spans="1:11">
      <c r="A284" s="3">
        <f>ROW() - ROW(Table1[[#Headers],[SL No.]])</f>
        <v>283</v>
      </c>
      <c r="B284" s="17"/>
      <c r="C284" s="1"/>
      <c r="E284" s="5"/>
      <c r="F284" s="15" t="s">
        <v>301</v>
      </c>
      <c r="H284" s="4"/>
      <c r="K284" s="6"/>
    </row>
    <row r="285" spans="1:11">
      <c r="A285" s="3">
        <f>ROW() - ROW(Table1[[#Headers],[SL No.]])</f>
        <v>284</v>
      </c>
      <c r="B285" s="17"/>
      <c r="C285" s="1"/>
      <c r="E285" s="5"/>
      <c r="F285" s="15" t="s">
        <v>301</v>
      </c>
      <c r="H285" s="4"/>
      <c r="K285" s="6"/>
    </row>
    <row r="286" spans="1:11">
      <c r="A286" s="3">
        <f>ROW() - ROW(Table1[[#Headers],[SL No.]])</f>
        <v>285</v>
      </c>
      <c r="B286" s="17"/>
      <c r="C286" s="1"/>
      <c r="E286" s="5"/>
      <c r="F286" s="15" t="s">
        <v>301</v>
      </c>
      <c r="H286" s="4"/>
      <c r="K286" s="6"/>
    </row>
    <row r="287" spans="1:11">
      <c r="A287" s="3">
        <f>ROW() - ROW(Table1[[#Headers],[SL No.]])</f>
        <v>286</v>
      </c>
      <c r="B287" s="17"/>
      <c r="C287" s="1"/>
      <c r="E287" s="5"/>
      <c r="F287" s="15" t="s">
        <v>301</v>
      </c>
      <c r="H287" s="4"/>
      <c r="K287" s="6"/>
    </row>
    <row r="288" spans="1:11">
      <c r="A288" s="3">
        <f>ROW() - ROW(Table1[[#Headers],[SL No.]])</f>
        <v>287</v>
      </c>
      <c r="B288" s="17"/>
      <c r="C288" s="1"/>
      <c r="E288" s="5"/>
      <c r="F288" s="15" t="s">
        <v>301</v>
      </c>
      <c r="H288" s="4"/>
      <c r="K288" s="6"/>
    </row>
    <row r="289" spans="1:11">
      <c r="A289" s="3">
        <f>ROW() - ROW(Table1[[#Headers],[SL No.]])</f>
        <v>288</v>
      </c>
      <c r="B289" s="17"/>
      <c r="C289" s="1"/>
      <c r="E289" s="5"/>
      <c r="F289" s="15" t="s">
        <v>301</v>
      </c>
      <c r="H289" s="4"/>
      <c r="K289" s="6"/>
    </row>
    <row r="290" spans="1:11">
      <c r="A290" s="3">
        <f>ROW() - ROW(Table1[[#Headers],[SL No.]])</f>
        <v>289</v>
      </c>
      <c r="B290" s="17"/>
      <c r="C290" s="1"/>
      <c r="E290" s="5"/>
      <c r="F290" s="15" t="s">
        <v>301</v>
      </c>
      <c r="H290" s="4"/>
      <c r="K290" s="6"/>
    </row>
    <row r="291" spans="1:11">
      <c r="A291" s="3">
        <f>ROW() - ROW(Table1[[#Headers],[SL No.]])</f>
        <v>290</v>
      </c>
      <c r="B291" s="17"/>
      <c r="C291" s="1"/>
      <c r="E291" s="5"/>
      <c r="F291" s="15" t="s">
        <v>301</v>
      </c>
      <c r="H291" s="4"/>
      <c r="K291" s="6"/>
    </row>
    <row r="292" spans="1:11">
      <c r="A292" s="3">
        <f>ROW() - ROW(Table1[[#Headers],[SL No.]])</f>
        <v>291</v>
      </c>
      <c r="B292" s="17"/>
      <c r="C292" s="1"/>
      <c r="E292" s="5"/>
      <c r="F292" s="15" t="s">
        <v>301</v>
      </c>
      <c r="H292" s="4"/>
      <c r="K292" s="6"/>
    </row>
    <row r="293" spans="1:11">
      <c r="A293" s="3">
        <f>ROW() - ROW(Table1[[#Headers],[SL No.]])</f>
        <v>292</v>
      </c>
      <c r="B293" s="17"/>
      <c r="C293" s="1"/>
      <c r="E293" s="5"/>
      <c r="F293" s="15" t="s">
        <v>301</v>
      </c>
      <c r="H293" s="4"/>
      <c r="K293" s="6"/>
    </row>
    <row r="294" spans="1:11">
      <c r="A294" s="3">
        <f>ROW() - ROW(Table1[[#Headers],[SL No.]])</f>
        <v>293</v>
      </c>
      <c r="B294" s="17"/>
      <c r="C294" s="1"/>
      <c r="E294" s="5"/>
      <c r="F294" s="15" t="s">
        <v>301</v>
      </c>
      <c r="H294" s="4"/>
      <c r="K294" s="6"/>
    </row>
    <row r="295" spans="1:11">
      <c r="A295" s="3">
        <f>ROW() - ROW(Table1[[#Headers],[SL No.]])</f>
        <v>294</v>
      </c>
      <c r="B295" s="17"/>
      <c r="C295" s="1"/>
      <c r="E295" s="5"/>
      <c r="F295" s="15" t="s">
        <v>301</v>
      </c>
      <c r="H295" s="4"/>
      <c r="K295" s="6"/>
    </row>
    <row r="296" spans="1:11">
      <c r="A296" s="3">
        <f>ROW() - ROW(Table1[[#Headers],[SL No.]])</f>
        <v>295</v>
      </c>
      <c r="B296" s="17"/>
      <c r="C296" s="1"/>
      <c r="E296" s="5"/>
      <c r="F296" s="15" t="s">
        <v>301</v>
      </c>
      <c r="H296" s="4"/>
      <c r="K296" s="6"/>
    </row>
    <row r="297" spans="1:11">
      <c r="A297" s="3">
        <f>ROW() - ROW(Table1[[#Headers],[SL No.]])</f>
        <v>296</v>
      </c>
      <c r="B297" s="17"/>
      <c r="C297" s="1"/>
      <c r="E297" s="5"/>
      <c r="F297" s="15" t="s">
        <v>301</v>
      </c>
      <c r="H297" s="4"/>
      <c r="K297" s="6"/>
    </row>
    <row r="298" spans="1:11">
      <c r="A298" s="3">
        <f>ROW() - ROW(Table1[[#Headers],[SL No.]])</f>
        <v>297</v>
      </c>
      <c r="B298" s="17"/>
      <c r="C298" s="1"/>
      <c r="E298" s="5"/>
      <c r="F298" s="15" t="s">
        <v>301</v>
      </c>
      <c r="H298" s="4"/>
      <c r="K298" s="6"/>
    </row>
    <row r="299" spans="1:11">
      <c r="A299" s="3">
        <f>ROW() - ROW(Table1[[#Headers],[SL No.]])</f>
        <v>298</v>
      </c>
      <c r="B299" s="17"/>
      <c r="C299" s="1"/>
      <c r="E299" s="5"/>
      <c r="F299" s="15" t="s">
        <v>301</v>
      </c>
      <c r="H299" s="4"/>
      <c r="K299" s="6"/>
    </row>
    <row r="300" spans="1:11">
      <c r="A300" s="3">
        <f>ROW() - ROW(Table1[[#Headers],[SL No.]])</f>
        <v>299</v>
      </c>
      <c r="B300" s="17"/>
      <c r="C300" s="1"/>
      <c r="E300" s="5"/>
      <c r="F300" s="15" t="s">
        <v>301</v>
      </c>
      <c r="H300" s="4"/>
      <c r="K300" s="6"/>
    </row>
    <row r="301" spans="1:11">
      <c r="A301" s="3">
        <f>ROW() - ROW(Table1[[#Headers],[SL No.]])</f>
        <v>300</v>
      </c>
      <c r="B301" s="17"/>
      <c r="C301" s="1"/>
      <c r="E301" s="5"/>
      <c r="F301" s="15" t="s">
        <v>301</v>
      </c>
      <c r="H301" s="4"/>
      <c r="K301" s="6"/>
    </row>
    <row r="302" spans="1:11">
      <c r="A302" s="3">
        <f>ROW() - ROW(Table1[[#Headers],[SL No.]])</f>
        <v>301</v>
      </c>
      <c r="B302" s="17"/>
      <c r="C302" s="1"/>
      <c r="E302" s="5"/>
      <c r="F302" s="15" t="s">
        <v>301</v>
      </c>
      <c r="H302" s="4"/>
      <c r="K302" s="6"/>
    </row>
    <row r="303" spans="1:11">
      <c r="A303" s="3">
        <f>ROW() - ROW(Table1[[#Headers],[SL No.]])</f>
        <v>302</v>
      </c>
      <c r="B303" s="17"/>
      <c r="C303" s="1"/>
      <c r="E303" s="5"/>
      <c r="F303" s="15" t="s">
        <v>301</v>
      </c>
      <c r="H303" s="4"/>
      <c r="K303" s="6"/>
    </row>
    <row r="304" spans="1:11">
      <c r="A304" s="3">
        <f>ROW() - ROW(Table1[[#Headers],[SL No.]])</f>
        <v>303</v>
      </c>
      <c r="B304" s="17"/>
      <c r="C304" s="1"/>
      <c r="E304" s="5"/>
      <c r="F304" s="15" t="s">
        <v>301</v>
      </c>
      <c r="H304" s="4"/>
      <c r="K304" s="6"/>
    </row>
    <row r="305" spans="1:11">
      <c r="A305" s="3">
        <f>ROW() - ROW(Table1[[#Headers],[SL No.]])</f>
        <v>304</v>
      </c>
      <c r="B305" s="17"/>
      <c r="C305" s="1"/>
      <c r="E305" s="5"/>
      <c r="F305" s="15" t="s">
        <v>301</v>
      </c>
      <c r="H305" s="4"/>
      <c r="K305" s="6"/>
    </row>
    <row r="306" spans="1:11">
      <c r="A306" s="3">
        <f>ROW() - ROW(Table1[[#Headers],[SL No.]])</f>
        <v>305</v>
      </c>
      <c r="B306" s="17"/>
      <c r="C306" s="1"/>
      <c r="E306" s="5"/>
      <c r="F306" s="15" t="s">
        <v>301</v>
      </c>
      <c r="H306" s="4"/>
      <c r="K306" s="6"/>
    </row>
    <row r="307" spans="1:11">
      <c r="A307" s="3">
        <f>ROW() - ROW(Table1[[#Headers],[SL No.]])</f>
        <v>306</v>
      </c>
      <c r="B307" s="17"/>
      <c r="C307" s="1"/>
      <c r="E307" s="5"/>
      <c r="F307" s="15" t="s">
        <v>301</v>
      </c>
      <c r="H307" s="4"/>
      <c r="K307" s="6"/>
    </row>
    <row r="308" spans="1:11">
      <c r="A308" s="3">
        <f>ROW() - ROW(Table1[[#Headers],[SL No.]])</f>
        <v>307</v>
      </c>
      <c r="B308" s="17"/>
      <c r="C308" s="1"/>
      <c r="E308" s="5"/>
      <c r="F308" s="15" t="s">
        <v>301</v>
      </c>
      <c r="H308" s="4"/>
      <c r="K308" s="6"/>
    </row>
    <row r="309" spans="1:11">
      <c r="A309" s="3">
        <f>ROW() - ROW(Table1[[#Headers],[SL No.]])</f>
        <v>308</v>
      </c>
      <c r="B309" s="17"/>
      <c r="C309" s="1"/>
      <c r="E309" s="5"/>
      <c r="F309" s="15" t="s">
        <v>301</v>
      </c>
      <c r="H309" s="4"/>
      <c r="K309" s="6"/>
    </row>
    <row r="310" spans="1:11">
      <c r="A310" s="3">
        <f>ROW() - ROW(Table1[[#Headers],[SL No.]])</f>
        <v>309</v>
      </c>
      <c r="B310" s="17"/>
      <c r="C310" s="1"/>
      <c r="E310" s="5"/>
      <c r="F310" s="15" t="s">
        <v>301</v>
      </c>
      <c r="H310" s="4"/>
      <c r="K310" s="6"/>
    </row>
    <row r="311" spans="1:11">
      <c r="A311" s="3">
        <f>ROW() - ROW(Table1[[#Headers],[SL No.]])</f>
        <v>310</v>
      </c>
      <c r="B311" s="17"/>
      <c r="C311" s="1"/>
      <c r="E311" s="5"/>
      <c r="F311" s="15" t="s">
        <v>301</v>
      </c>
      <c r="H311" s="4"/>
      <c r="K311" s="6"/>
    </row>
    <row r="312" spans="1:11">
      <c r="A312" s="3">
        <f>ROW() - ROW(Table1[[#Headers],[SL No.]])</f>
        <v>311</v>
      </c>
      <c r="B312" s="17"/>
      <c r="C312" s="1"/>
      <c r="E312" s="5"/>
      <c r="F312" s="15" t="s">
        <v>301</v>
      </c>
      <c r="H312" s="4"/>
      <c r="K312" s="6"/>
    </row>
    <row r="313" spans="1:11">
      <c r="A313" s="3">
        <f>ROW() - ROW(Table1[[#Headers],[SL No.]])</f>
        <v>312</v>
      </c>
      <c r="B313" s="17"/>
      <c r="C313" s="1"/>
      <c r="E313" s="5"/>
      <c r="F313" s="15" t="s">
        <v>301</v>
      </c>
      <c r="H313" s="4"/>
      <c r="K313" s="6"/>
    </row>
    <row r="314" spans="1:11">
      <c r="A314" s="3">
        <f>ROW() - ROW(Table1[[#Headers],[SL No.]])</f>
        <v>313</v>
      </c>
      <c r="B314" s="17"/>
      <c r="C314" s="1"/>
      <c r="E314" s="5"/>
      <c r="F314" s="15" t="s">
        <v>301</v>
      </c>
      <c r="H314" s="4"/>
      <c r="K314" s="6"/>
    </row>
    <row r="315" spans="1:11">
      <c r="A315" s="3">
        <f>ROW() - ROW(Table1[[#Headers],[SL No.]])</f>
        <v>314</v>
      </c>
      <c r="B315" s="17"/>
      <c r="C315" s="1"/>
      <c r="E315" s="5"/>
      <c r="F315" s="15" t="s">
        <v>301</v>
      </c>
      <c r="H315" s="4"/>
      <c r="K315" s="6"/>
    </row>
    <row r="316" spans="1:11">
      <c r="A316" s="3">
        <f>ROW() - ROW(Table1[[#Headers],[SL No.]])</f>
        <v>315</v>
      </c>
      <c r="B316" s="17"/>
      <c r="C316" s="1"/>
      <c r="E316" s="5"/>
      <c r="F316" s="15" t="s">
        <v>301</v>
      </c>
      <c r="H316" s="4"/>
      <c r="K316" s="6"/>
    </row>
    <row r="317" spans="1:11">
      <c r="A317" s="3">
        <f>ROW() - ROW(Table1[[#Headers],[SL No.]])</f>
        <v>316</v>
      </c>
      <c r="B317" s="17"/>
      <c r="C317" s="1"/>
      <c r="E317" s="5"/>
      <c r="F317" s="15" t="s">
        <v>301</v>
      </c>
      <c r="H317" s="4"/>
      <c r="K317" s="6"/>
    </row>
    <row r="318" spans="1:11">
      <c r="A318" s="3">
        <f>ROW() - ROW(Table1[[#Headers],[SL No.]])</f>
        <v>317</v>
      </c>
      <c r="B318" s="17"/>
      <c r="C318" s="1"/>
      <c r="E318" s="5"/>
      <c r="F318" s="15" t="s">
        <v>301</v>
      </c>
      <c r="H318" s="4"/>
      <c r="K318" s="6"/>
    </row>
    <row r="319" spans="1:11">
      <c r="A319" s="3">
        <f>ROW() - ROW(Table1[[#Headers],[SL No.]])</f>
        <v>318</v>
      </c>
      <c r="B319" s="17"/>
      <c r="C319" s="1"/>
      <c r="E319" s="5"/>
      <c r="F319" s="15" t="s">
        <v>301</v>
      </c>
      <c r="H319" s="4"/>
      <c r="K319" s="6"/>
    </row>
    <row r="320" spans="1:11">
      <c r="A320" s="3">
        <f>ROW() - ROW(Table1[[#Headers],[SL No.]])</f>
        <v>319</v>
      </c>
      <c r="B320" s="17"/>
      <c r="C320" s="1"/>
      <c r="E320" s="5"/>
      <c r="F320" s="15" t="s">
        <v>301</v>
      </c>
      <c r="H320" s="4"/>
      <c r="K320" s="6"/>
    </row>
    <row r="321" spans="1:11">
      <c r="A321" s="3">
        <f>ROW() - ROW(Table1[[#Headers],[SL No.]])</f>
        <v>320</v>
      </c>
      <c r="B321" s="17"/>
      <c r="C321" s="1"/>
      <c r="E321" s="5"/>
      <c r="F321" s="15" t="s">
        <v>301</v>
      </c>
      <c r="H321" s="4"/>
      <c r="K321" s="6"/>
    </row>
    <row r="322" spans="1:11">
      <c r="A322" s="3">
        <f>ROW() - ROW(Table1[[#Headers],[SL No.]])</f>
        <v>321</v>
      </c>
      <c r="B322" s="17"/>
      <c r="C322" s="1"/>
      <c r="E322" s="5"/>
      <c r="F322" s="15" t="s">
        <v>301</v>
      </c>
      <c r="H322" s="4"/>
      <c r="K322" s="6"/>
    </row>
    <row r="323" spans="1:11">
      <c r="A323" s="3">
        <f>ROW() - ROW(Table1[[#Headers],[SL No.]])</f>
        <v>322</v>
      </c>
      <c r="B323" s="17"/>
      <c r="C323" s="1"/>
      <c r="E323" s="5"/>
      <c r="F323" s="15" t="s">
        <v>301</v>
      </c>
      <c r="H323" s="4"/>
      <c r="K323" s="6"/>
    </row>
    <row r="324" spans="1:11">
      <c r="A324" s="3">
        <f>ROW() - ROW(Table1[[#Headers],[SL No.]])</f>
        <v>323</v>
      </c>
      <c r="B324" s="17"/>
      <c r="C324" s="1"/>
      <c r="E324" s="5"/>
      <c r="F324" s="15" t="s">
        <v>301</v>
      </c>
      <c r="H324" s="4"/>
      <c r="K324" s="6"/>
    </row>
    <row r="325" spans="1:11">
      <c r="A325" s="3">
        <f>ROW() - ROW(Table1[[#Headers],[SL No.]])</f>
        <v>324</v>
      </c>
      <c r="B325" s="17"/>
      <c r="C325" s="1"/>
      <c r="E325" s="5"/>
      <c r="F325" s="15" t="s">
        <v>301</v>
      </c>
      <c r="H325" s="4"/>
      <c r="K325" s="6"/>
    </row>
    <row r="326" spans="1:11">
      <c r="A326" s="3">
        <f>ROW() - ROW(Table1[[#Headers],[SL No.]])</f>
        <v>325</v>
      </c>
      <c r="B326" s="17"/>
      <c r="C326" s="1"/>
      <c r="E326" s="5"/>
      <c r="F326" s="15" t="s">
        <v>301</v>
      </c>
      <c r="H326" s="4"/>
      <c r="K326" s="6"/>
    </row>
    <row r="327" spans="1:11">
      <c r="A327" s="3">
        <f>ROW() - ROW(Table1[[#Headers],[SL No.]])</f>
        <v>326</v>
      </c>
      <c r="B327" s="17"/>
      <c r="C327" s="1"/>
      <c r="E327" s="5"/>
      <c r="F327" s="15" t="s">
        <v>301</v>
      </c>
      <c r="H327" s="4"/>
      <c r="K327" s="6"/>
    </row>
    <row r="328" spans="1:11">
      <c r="A328" s="3">
        <f>ROW() - ROW(Table1[[#Headers],[SL No.]])</f>
        <v>327</v>
      </c>
      <c r="B328" s="17"/>
      <c r="C328" s="1"/>
      <c r="E328" s="5"/>
      <c r="F328" s="15" t="s">
        <v>301</v>
      </c>
      <c r="H328" s="4"/>
      <c r="K328" s="6"/>
    </row>
    <row r="329" spans="1:11">
      <c r="A329" s="3">
        <f>ROW() - ROW(Table1[[#Headers],[SL No.]])</f>
        <v>328</v>
      </c>
      <c r="B329" s="17"/>
      <c r="C329" s="1"/>
      <c r="E329" s="5"/>
      <c r="F329" s="15" t="s">
        <v>301</v>
      </c>
      <c r="H329" s="4"/>
      <c r="K329" s="6"/>
    </row>
    <row r="330" spans="1:11">
      <c r="A330" s="3">
        <f>ROW() - ROW(Table1[[#Headers],[SL No.]])</f>
        <v>329</v>
      </c>
      <c r="B330" s="17"/>
      <c r="C330" s="1"/>
      <c r="E330" s="5"/>
      <c r="F330" s="15" t="s">
        <v>301</v>
      </c>
      <c r="H330" s="4"/>
      <c r="K330" s="6"/>
    </row>
    <row r="331" spans="1:11">
      <c r="A331" s="3">
        <f>ROW() - ROW(Table1[[#Headers],[SL No.]])</f>
        <v>330</v>
      </c>
      <c r="B331" s="17"/>
      <c r="C331" s="1"/>
      <c r="E331" s="5"/>
      <c r="F331" s="15" t="s">
        <v>301</v>
      </c>
      <c r="H331" s="4"/>
      <c r="K331" s="6"/>
    </row>
    <row r="332" spans="1:11">
      <c r="A332" s="3">
        <f>ROW() - ROW(Table1[[#Headers],[SL No.]])</f>
        <v>331</v>
      </c>
      <c r="B332" s="17"/>
      <c r="C332" s="1"/>
      <c r="E332" s="5"/>
      <c r="F332" s="15" t="s">
        <v>301</v>
      </c>
      <c r="H332" s="4"/>
      <c r="K332" s="6"/>
    </row>
    <row r="333" spans="1:11">
      <c r="A333" s="3">
        <f>ROW() - ROW(Table1[[#Headers],[SL No.]])</f>
        <v>332</v>
      </c>
      <c r="B333" s="17"/>
      <c r="C333" s="1"/>
      <c r="E333" s="5"/>
      <c r="F333" s="15" t="s">
        <v>301</v>
      </c>
      <c r="H333" s="4"/>
      <c r="K333" s="6"/>
    </row>
    <row r="334" spans="1:11">
      <c r="A334" s="3">
        <f>ROW() - ROW(Table1[[#Headers],[SL No.]])</f>
        <v>333</v>
      </c>
      <c r="B334" s="17"/>
      <c r="C334" s="1"/>
      <c r="E334" s="5"/>
      <c r="F334" s="15" t="s">
        <v>301</v>
      </c>
      <c r="H334" s="4"/>
      <c r="K334" s="6"/>
    </row>
    <row r="335" spans="1:11">
      <c r="A335" s="3">
        <f>ROW() - ROW(Table1[[#Headers],[SL No.]])</f>
        <v>334</v>
      </c>
      <c r="B335" s="17"/>
      <c r="C335" s="1"/>
      <c r="E335" s="5"/>
      <c r="F335" s="15" t="s">
        <v>301</v>
      </c>
      <c r="H335" s="4"/>
      <c r="K335" s="6"/>
    </row>
    <row r="336" spans="1:11">
      <c r="A336" s="3">
        <f>ROW() - ROW(Table1[[#Headers],[SL No.]])</f>
        <v>335</v>
      </c>
      <c r="B336" s="17"/>
      <c r="C336" s="1"/>
      <c r="E336" s="5"/>
      <c r="F336" s="15" t="s">
        <v>301</v>
      </c>
      <c r="H336" s="4"/>
      <c r="K336" s="6"/>
    </row>
    <row r="337" spans="1:15">
      <c r="A337" s="3">
        <f>ROW() - ROW(Table1[[#Headers],[SL No.]])</f>
        <v>336</v>
      </c>
      <c r="B337" s="17"/>
      <c r="C337" s="1"/>
      <c r="E337" s="5"/>
      <c r="F337" s="15" t="s">
        <v>301</v>
      </c>
      <c r="H337" s="4"/>
      <c r="K337" s="6"/>
    </row>
    <row r="338" spans="1:15">
      <c r="A338" s="3">
        <f>ROW() - ROW(Table1[[#Headers],[SL No.]])</f>
        <v>337</v>
      </c>
      <c r="B338" s="17"/>
      <c r="C338" s="1"/>
      <c r="E338" s="5"/>
      <c r="F338" s="15" t="s">
        <v>301</v>
      </c>
      <c r="H338" s="4"/>
      <c r="K338" s="6"/>
    </row>
    <row r="339" spans="1:15">
      <c r="A339" s="3">
        <f>ROW() - ROW(Table1[[#Headers],[SL No.]])</f>
        <v>338</v>
      </c>
      <c r="B339" s="17"/>
      <c r="C339" s="1"/>
      <c r="E339" s="5"/>
      <c r="F339" s="15" t="s">
        <v>301</v>
      </c>
      <c r="H339" s="4"/>
      <c r="K339" s="6"/>
    </row>
    <row r="340" spans="1:15">
      <c r="A340" s="3">
        <f>ROW() - ROW(Table1[[#Headers],[SL No.]])</f>
        <v>339</v>
      </c>
      <c r="B340" s="17"/>
      <c r="C340" s="1"/>
      <c r="E340" s="5"/>
      <c r="F340" s="15" t="s">
        <v>301</v>
      </c>
      <c r="H340" s="4"/>
      <c r="K340" s="6"/>
    </row>
    <row r="341" spans="1:15">
      <c r="A341" s="3">
        <f>ROW() - ROW(Table1[[#Headers],[SL No.]])</f>
        <v>340</v>
      </c>
      <c r="B341" s="17"/>
      <c r="C341" s="1"/>
      <c r="E341" s="5"/>
      <c r="F341" s="15" t="s">
        <v>301</v>
      </c>
      <c r="H341" s="4"/>
      <c r="K341" s="6"/>
    </row>
    <row r="342" spans="1:15">
      <c r="A342" s="3">
        <f>ROW() - ROW(Table1[[#Headers],[SL No.]])</f>
        <v>341</v>
      </c>
      <c r="B342" s="17"/>
      <c r="C342" s="1"/>
      <c r="E342" s="5"/>
      <c r="F342" s="15" t="s">
        <v>301</v>
      </c>
      <c r="H342" s="4"/>
      <c r="K342" s="6"/>
    </row>
    <row r="343" spans="1:15">
      <c r="A343" s="3">
        <f>ROW() - ROW(Table1[[#Headers],[SL No.]])</f>
        <v>342</v>
      </c>
      <c r="B343" s="17"/>
      <c r="C343" s="1"/>
      <c r="E343" s="5"/>
      <c r="F343" s="15" t="s">
        <v>301</v>
      </c>
      <c r="H343" s="4"/>
      <c r="K343" s="6"/>
    </row>
    <row r="344" spans="1:15">
      <c r="A344" s="3">
        <f>ROW() - ROW(Table1[[#Headers],[SL No.]])</f>
        <v>343</v>
      </c>
      <c r="B344" s="17"/>
      <c r="C344" s="1"/>
      <c r="E344" s="5"/>
      <c r="F344" s="15" t="s">
        <v>301</v>
      </c>
      <c r="H344" s="4"/>
      <c r="K344" s="6"/>
    </row>
    <row r="345" spans="1:15">
      <c r="A345" s="3">
        <f>ROW() - ROW(Table1[[#Headers],[SL No.]])</f>
        <v>344</v>
      </c>
      <c r="B345" s="17"/>
      <c r="C345" s="1"/>
      <c r="E345" s="5"/>
      <c r="F345" s="15" t="s">
        <v>301</v>
      </c>
      <c r="H345" s="4"/>
      <c r="K345" s="6"/>
    </row>
    <row r="346" spans="1:15">
      <c r="A346" s="3">
        <f>ROW() - ROW(Table1[[#Headers],[SL No.]])</f>
        <v>345</v>
      </c>
      <c r="B346" s="17"/>
      <c r="C346" s="1"/>
      <c r="E346" s="5"/>
      <c r="F346" s="15" t="s">
        <v>301</v>
      </c>
      <c r="H346" s="4"/>
      <c r="K346" s="6"/>
    </row>
    <row r="347" spans="1:15">
      <c r="A347" s="3">
        <f>ROW() - ROW(Table1[[#Headers],[SL No.]])</f>
        <v>346</v>
      </c>
      <c r="B347" s="17"/>
      <c r="C347" s="1"/>
      <c r="E347" s="5"/>
      <c r="F347" s="15" t="s">
        <v>301</v>
      </c>
      <c r="H347" s="4"/>
      <c r="K347" s="6"/>
    </row>
    <row r="348" spans="1:15">
      <c r="A348" s="3">
        <f>ROW() - ROW(Table1[[#Headers],[SL No.]])</f>
        <v>347</v>
      </c>
      <c r="B348" s="17"/>
      <c r="C348" s="1"/>
      <c r="E348" s="5"/>
      <c r="F348" s="15" t="s">
        <v>301</v>
      </c>
      <c r="H348" s="4"/>
      <c r="K348" s="6"/>
    </row>
    <row r="349" spans="1:15">
      <c r="A349" s="12">
        <f>ROW() - ROW(Table1[[#Headers],[SL No.]])</f>
        <v>348</v>
      </c>
      <c r="B349" s="17" t="s">
        <v>10</v>
      </c>
      <c r="C349" t="s">
        <v>1092</v>
      </c>
      <c r="D349" t="s">
        <v>1093</v>
      </c>
      <c r="E349" s="5" t="s">
        <v>1094</v>
      </c>
      <c r="F349" s="78">
        <v>46145</v>
      </c>
      <c r="H349" s="4"/>
      <c r="I349" t="s">
        <v>39</v>
      </c>
      <c r="J349" t="s">
        <v>40</v>
      </c>
      <c r="K349" s="6">
        <v>620</v>
      </c>
      <c r="L349" t="s">
        <v>1095</v>
      </c>
      <c r="M349" t="s">
        <v>1096</v>
      </c>
      <c r="N349" t="s">
        <v>94</v>
      </c>
      <c r="O349" t="s">
        <v>44</v>
      </c>
    </row>
    <row r="350" spans="1:15" ht="15.75">
      <c r="A350" s="12">
        <f>ROW() - ROW(Table1[[#Headers],[SL No.]])</f>
        <v>349</v>
      </c>
      <c r="B350" s="17" t="s">
        <v>9</v>
      </c>
      <c r="C350" s="79" t="s">
        <v>1097</v>
      </c>
      <c r="D350" t="s">
        <v>1098</v>
      </c>
      <c r="E350" s="5" t="s">
        <v>1099</v>
      </c>
      <c r="F350" s="78">
        <v>46146</v>
      </c>
      <c r="H350" s="4"/>
      <c r="I350" t="s">
        <v>39</v>
      </c>
      <c r="J350" t="s">
        <v>49</v>
      </c>
      <c r="K350" s="6">
        <v>600</v>
      </c>
      <c r="L350" t="s">
        <v>1100</v>
      </c>
      <c r="N350" t="s">
        <v>1101</v>
      </c>
      <c r="O350" t="s">
        <v>44</v>
      </c>
    </row>
    <row r="351" spans="1:15">
      <c r="A351" s="3">
        <f>ROW() - ROW(Table1[[#Headers],[SL No.]])</f>
        <v>350</v>
      </c>
      <c r="B351" s="17"/>
      <c r="E351" s="5"/>
      <c r="H351" s="4"/>
      <c r="K351" s="6"/>
    </row>
    <row r="352" spans="1:15">
      <c r="A352" s="12">
        <f>ROW() - ROW(Table1[[#Headers],[SL No.]])</f>
        <v>351</v>
      </c>
      <c r="B352" s="17" t="s">
        <v>1</v>
      </c>
      <c r="C352" t="s">
        <v>863</v>
      </c>
      <c r="D352" t="s">
        <v>864</v>
      </c>
      <c r="E352" s="5" t="s">
        <v>865</v>
      </c>
      <c r="H352" s="4"/>
      <c r="I352" t="s">
        <v>56</v>
      </c>
      <c r="J352" t="s">
        <v>49</v>
      </c>
      <c r="K352" s="6">
        <v>500</v>
      </c>
      <c r="L352" t="s">
        <v>1102</v>
      </c>
      <c r="M352" t="s">
        <v>1103</v>
      </c>
      <c r="O352" t="s">
        <v>44</v>
      </c>
    </row>
    <row r="353" spans="1:16">
      <c r="A353" s="12">
        <f>ROW() - ROW(Table1[[#Headers],[SL No.]])</f>
        <v>352</v>
      </c>
      <c r="B353" s="17" t="s">
        <v>12</v>
      </c>
      <c r="C353" t="s">
        <v>1104</v>
      </c>
      <c r="D353" t="s">
        <v>1105</v>
      </c>
      <c r="E353" s="5" t="s">
        <v>1106</v>
      </c>
      <c r="F353" s="78">
        <v>46153</v>
      </c>
      <c r="G353" t="s">
        <v>38</v>
      </c>
      <c r="H353" s="4" t="s">
        <v>171</v>
      </c>
      <c r="I353" t="s">
        <v>39</v>
      </c>
      <c r="J353" t="s">
        <v>49</v>
      </c>
      <c r="K353" s="6">
        <v>560</v>
      </c>
      <c r="L353" t="s">
        <v>631</v>
      </c>
      <c r="M353" t="s">
        <v>1107</v>
      </c>
      <c r="N353" t="s">
        <v>823</v>
      </c>
      <c r="O353" t="s">
        <v>44</v>
      </c>
      <c r="P353" t="s">
        <v>756</v>
      </c>
    </row>
    <row r="354" spans="1:16">
      <c r="A354" s="12">
        <f>ROW() - ROW(Table1[[#Headers],[SL No.]])</f>
        <v>353</v>
      </c>
      <c r="B354" s="17" t="s">
        <v>10</v>
      </c>
      <c r="C354" t="s">
        <v>1108</v>
      </c>
      <c r="D354" s="55" t="s">
        <v>1109</v>
      </c>
      <c r="E354" s="47">
        <v>911207279</v>
      </c>
      <c r="F354" s="78">
        <v>46153</v>
      </c>
      <c r="G354" t="s">
        <v>38</v>
      </c>
      <c r="H354" s="4"/>
      <c r="I354" t="s">
        <v>56</v>
      </c>
      <c r="J354" t="s">
        <v>49</v>
      </c>
      <c r="K354" s="6">
        <v>800</v>
      </c>
      <c r="L354" t="s">
        <v>1110</v>
      </c>
      <c r="M354" t="s">
        <v>1111</v>
      </c>
      <c r="N354" s="40" t="s">
        <v>823</v>
      </c>
      <c r="O354" t="s">
        <v>44</v>
      </c>
      <c r="P354" t="s">
        <v>756</v>
      </c>
    </row>
    <row r="355" spans="1:16">
      <c r="A355" s="3">
        <f>ROW() - ROW(Table1[[#Headers],[SL No.]])</f>
        <v>354</v>
      </c>
      <c r="B355" s="17"/>
      <c r="E355" s="5"/>
      <c r="H355" s="4"/>
      <c r="K355" s="6"/>
      <c r="N355" s="56"/>
    </row>
    <row r="356" spans="1:16">
      <c r="A356" s="3">
        <f>ROW() - ROW(Table1[[#Headers],[SL No.]])</f>
        <v>355</v>
      </c>
      <c r="B356" s="17" t="s">
        <v>10</v>
      </c>
      <c r="C356" s="104" t="s">
        <v>442</v>
      </c>
      <c r="D356" s="101" t="s">
        <v>443</v>
      </c>
      <c r="E356" s="105" t="s">
        <v>444</v>
      </c>
      <c r="F356" s="88">
        <v>46028</v>
      </c>
      <c r="G356" s="4" t="s">
        <v>38</v>
      </c>
      <c r="H356" s="4"/>
      <c r="I356" s="4"/>
      <c r="J356" s="4"/>
      <c r="K356" s="106">
        <v>350</v>
      </c>
      <c r="L356" t="s">
        <v>445</v>
      </c>
      <c r="M356" t="s">
        <v>446</v>
      </c>
      <c r="N356" t="s">
        <v>447</v>
      </c>
      <c r="O356" t="s">
        <v>44</v>
      </c>
      <c r="P356" t="s">
        <v>193</v>
      </c>
    </row>
    <row r="357" spans="1:16">
      <c r="A357" s="3">
        <f>ROW() - ROW(Table1[[#Headers],[SL No.]])</f>
        <v>356</v>
      </c>
      <c r="B357" s="17"/>
      <c r="C357" s="108" t="s">
        <v>1112</v>
      </c>
      <c r="D357" s="33" t="s">
        <v>1113</v>
      </c>
      <c r="E357" s="5" t="s">
        <v>1114</v>
      </c>
      <c r="F357" s="88">
        <v>46194</v>
      </c>
      <c r="H357" s="4"/>
      <c r="I357" t="s">
        <v>56</v>
      </c>
      <c r="J357" t="s">
        <v>49</v>
      </c>
      <c r="K357" s="6">
        <v>720</v>
      </c>
      <c r="L357" t="s">
        <v>1115</v>
      </c>
      <c r="M357" s="80" t="s">
        <v>100</v>
      </c>
      <c r="N357" t="s">
        <v>636</v>
      </c>
      <c r="O357" t="s">
        <v>44</v>
      </c>
      <c r="P357" t="s">
        <v>756</v>
      </c>
    </row>
    <row r="358" spans="1:16" ht="15.75">
      <c r="A358" s="3">
        <f>ROW() - ROW(Table1[[#Headers],[SL No.]])</f>
        <v>357</v>
      </c>
      <c r="B358" s="17" t="s">
        <v>536</v>
      </c>
      <c r="C358" s="107" t="s">
        <v>1116</v>
      </c>
      <c r="D358" t="s">
        <v>1117</v>
      </c>
      <c r="E358" s="5" t="s">
        <v>1118</v>
      </c>
      <c r="F358" s="78">
        <v>46204</v>
      </c>
      <c r="G358" t="s">
        <v>38</v>
      </c>
      <c r="H358" s="4" t="s">
        <v>38</v>
      </c>
      <c r="I358" t="s">
        <v>56</v>
      </c>
      <c r="J358" t="s">
        <v>40</v>
      </c>
      <c r="K358" s="6">
        <v>350</v>
      </c>
      <c r="L358" t="s">
        <v>1119</v>
      </c>
      <c r="M358" t="s">
        <v>1120</v>
      </c>
      <c r="N358" t="s">
        <v>1121</v>
      </c>
      <c r="O358" t="s">
        <v>44</v>
      </c>
      <c r="P358" t="s">
        <v>756</v>
      </c>
    </row>
    <row r="359" spans="1:16" ht="18">
      <c r="A359" s="3">
        <f>ROW() - ROW(Table1[[#Headers],[SL No.]])</f>
        <v>358</v>
      </c>
      <c r="B359" s="17" t="s">
        <v>10</v>
      </c>
      <c r="C359" s="118" t="s">
        <v>1122</v>
      </c>
      <c r="D359" s="55" t="s">
        <v>1123</v>
      </c>
      <c r="E359" s="5" t="s">
        <v>1124</v>
      </c>
      <c r="F359" s="110">
        <v>46266</v>
      </c>
      <c r="G359" t="s">
        <v>38</v>
      </c>
      <c r="H359" s="4"/>
      <c r="I359" t="s">
        <v>56</v>
      </c>
      <c r="J359" t="s">
        <v>49</v>
      </c>
      <c r="K359" s="6">
        <v>500</v>
      </c>
      <c r="L359" s="55" t="s">
        <v>1125</v>
      </c>
      <c r="N359" t="s">
        <v>1126</v>
      </c>
      <c r="O359" t="s">
        <v>44</v>
      </c>
      <c r="P359" t="s">
        <v>756</v>
      </c>
    </row>
    <row r="360" spans="1:16">
      <c r="A360" s="3">
        <f>ROW() - ROW(Table1[[#Headers],[SL No.]])</f>
        <v>359</v>
      </c>
      <c r="B360" s="17"/>
      <c r="C360" t="s">
        <v>1127</v>
      </c>
      <c r="D360" t="s">
        <v>1128</v>
      </c>
      <c r="E360" s="5" t="s">
        <v>1129</v>
      </c>
      <c r="F360" s="78">
        <v>46265</v>
      </c>
      <c r="G360" t="s">
        <v>38</v>
      </c>
      <c r="H360" s="4"/>
      <c r="I360" t="s">
        <v>56</v>
      </c>
      <c r="J360" t="s">
        <v>49</v>
      </c>
      <c r="K360" s="6">
        <v>500</v>
      </c>
      <c r="L360" t="s">
        <v>1130</v>
      </c>
      <c r="M360" t="s">
        <v>1131</v>
      </c>
      <c r="N360" t="s">
        <v>1132</v>
      </c>
      <c r="O360" t="s">
        <v>44</v>
      </c>
      <c r="P360" t="s">
        <v>756</v>
      </c>
    </row>
    <row r="361" spans="1:16" ht="15.75">
      <c r="A361" s="3">
        <f>ROW() - ROW(Table1[[#Headers],[SL No.]])</f>
        <v>360</v>
      </c>
      <c r="B361" s="17" t="s">
        <v>10</v>
      </c>
      <c r="C361" s="119" t="s">
        <v>1133</v>
      </c>
      <c r="D361" t="s">
        <v>1134</v>
      </c>
      <c r="E361" s="5" t="s">
        <v>1135</v>
      </c>
      <c r="F361" s="110">
        <v>46278</v>
      </c>
      <c r="H361" s="4"/>
      <c r="I361" t="s">
        <v>39</v>
      </c>
      <c r="J361" t="s">
        <v>49</v>
      </c>
      <c r="K361" s="6">
        <v>650</v>
      </c>
      <c r="L361" t="s">
        <v>1136</v>
      </c>
      <c r="M361" t="s">
        <v>1107</v>
      </c>
      <c r="N361" t="s">
        <v>823</v>
      </c>
      <c r="O361" t="s">
        <v>44</v>
      </c>
      <c r="P361" t="s">
        <v>756</v>
      </c>
    </row>
    <row r="362" spans="1:16">
      <c r="A362" s="85">
        <f>ROW() - ROW(Table1[[#Headers],[SL No.]])</f>
        <v>361</v>
      </c>
      <c r="B362" s="17" t="s">
        <v>10</v>
      </c>
      <c r="C362" s="104" t="s">
        <v>607</v>
      </c>
      <c r="D362" s="104" t="s">
        <v>608</v>
      </c>
      <c r="E362" s="105" t="s">
        <v>609</v>
      </c>
      <c r="F362" s="88">
        <v>46095</v>
      </c>
      <c r="H362" s="4"/>
      <c r="I362" t="s">
        <v>39</v>
      </c>
      <c r="J362" t="s">
        <v>40</v>
      </c>
      <c r="K362" s="106">
        <v>400</v>
      </c>
      <c r="L362" t="s">
        <v>294</v>
      </c>
      <c r="M362" t="s">
        <v>610</v>
      </c>
      <c r="N362" s="40" t="s">
        <v>611</v>
      </c>
      <c r="O362" t="s">
        <v>44</v>
      </c>
      <c r="P362" t="s">
        <v>1137</v>
      </c>
    </row>
  </sheetData>
  <phoneticPr fontId="7" type="noConversion"/>
  <hyperlinks>
    <hyperlink ref="D66" r:id="rId1" xr:uid="{D81F77E9-A120-48D1-9716-09A22A2DDD5A}"/>
    <hyperlink ref="D67" r:id="rId2" xr:uid="{AD641383-A0B5-4FBC-B4CE-3AD5BD3A938E}"/>
    <hyperlink ref="D69" r:id="rId3" xr:uid="{A25B820A-6631-4C86-BD6D-4C114C2A2893}"/>
    <hyperlink ref="D70" r:id="rId4" xr:uid="{13278846-547A-4A30-8522-E23FCCA62DAC}"/>
    <hyperlink ref="D71" r:id="rId5" xr:uid="{05DF7046-00C6-4F9B-AE2A-A08A3C3A6B6B}"/>
    <hyperlink ref="D74" r:id="rId6" xr:uid="{87946B76-5936-42A7-9D62-C65E6647038D}"/>
    <hyperlink ref="D73" r:id="rId7" xr:uid="{BB24404D-54F5-40F1-A739-30A56D43B250}"/>
    <hyperlink ref="D75" r:id="rId8" xr:uid="{8544AF55-6700-4E34-BA36-F14C7CC7A7B8}"/>
    <hyperlink ref="D79" r:id="rId9" xr:uid="{226DA6EC-0B6B-4753-9B7B-2105022EEF23}"/>
    <hyperlink ref="D80" r:id="rId10" xr:uid="{12E03BB5-646D-49D5-A747-65BC90562656}"/>
    <hyperlink ref="D81" r:id="rId11" xr:uid="{13999E3F-E797-46D9-B607-846DA3479AA0}"/>
    <hyperlink ref="D82" r:id="rId12" xr:uid="{9D2EA862-DCB7-45BF-9BA4-C885DEC6417E}"/>
    <hyperlink ref="D83" r:id="rId13" xr:uid="{F40C209F-08AA-472B-ADA9-616AD4902E8A}"/>
    <hyperlink ref="D84" r:id="rId14" xr:uid="{55FB386A-1933-4051-9E3F-72DAB6D22710}"/>
    <hyperlink ref="D85" r:id="rId15" xr:uid="{6DE4DD52-9636-4B71-91DC-D01A48C2C339}"/>
    <hyperlink ref="D86" r:id="rId16" xr:uid="{651DE408-19F7-4B5D-8A9C-3C0B107600CC}"/>
    <hyperlink ref="D87" r:id="rId17" xr:uid="{BDADD150-F884-49E2-AB9B-4603AD81657F}"/>
    <hyperlink ref="D88" r:id="rId18" xr:uid="{9241B80B-0A2E-4985-8C1F-EFDAFFD57363}"/>
    <hyperlink ref="D89" r:id="rId19" xr:uid="{564705B1-7840-4149-875F-F25CA77A8BBD}"/>
    <hyperlink ref="D90" r:id="rId20" xr:uid="{74B37A5B-CC83-4571-A06A-F65F228AECFC}"/>
    <hyperlink ref="D91" r:id="rId21" display="علي محسن عبدعلي" xr:uid="{CAFEAC71-A9BC-47E5-A0BB-85E80B66C19F}"/>
    <hyperlink ref="D92" r:id="rId22" xr:uid="{91C51739-12CD-4AA5-8D6E-AEBE8A43A5D1}"/>
    <hyperlink ref="D93" r:id="rId23" display="عبدالله حسين عبدالله" xr:uid="{E57C29A5-18B1-4F13-BB5F-E93C2AC1BF41}"/>
    <hyperlink ref="D94" r:id="rId24" xr:uid="{6A7E2885-A7FB-4DE8-B556-B7EB83DA07D3}"/>
    <hyperlink ref="D95" r:id="rId25" xr:uid="{43D0D64D-9BFB-4E6F-A640-B56D4AC03D6C}"/>
    <hyperlink ref="D96" r:id="rId26" xr:uid="{F6312809-582E-45A7-829A-45A248FFE66B}"/>
    <hyperlink ref="D97" r:id="rId27" xr:uid="{4A2CE1EC-2542-4751-816D-2DD96EB8B5D1}"/>
    <hyperlink ref="D136" r:id="rId28" xr:uid="{4881ED15-6B13-4EDD-9AD5-DABA5385A2D6}"/>
    <hyperlink ref="D137" r:id="rId29" xr:uid="{E3889599-5C4A-48CB-8C48-C907FD10ACD0}"/>
    <hyperlink ref="D138" r:id="rId30" xr:uid="{064BEA6D-CB02-497E-94D3-463B9B847690}"/>
    <hyperlink ref="D141" r:id="rId31" xr:uid="{0F42F74E-0547-4593-9337-5D4FA576DFFE}"/>
    <hyperlink ref="D142" r:id="rId32" xr:uid="{F8D72DB6-8218-4BFE-835F-F5FE38F8D2C6}"/>
    <hyperlink ref="D143" r:id="rId33" xr:uid="{2E19322C-DFAA-42BD-8B89-F784965BD51B}"/>
    <hyperlink ref="D144" r:id="rId34" xr:uid="{0D09E1B4-B9BE-4321-B0EF-2F5D437D0414}"/>
    <hyperlink ref="D145" r:id="rId35" xr:uid="{EE28F553-5E9C-48B0-8B5F-60E56842511F}"/>
    <hyperlink ref="D146" r:id="rId36" xr:uid="{C252DDCC-0C28-477E-989B-01A33B0947D5}"/>
    <hyperlink ref="D147" r:id="rId37" xr:uid="{EA762653-5DA7-4473-926A-DFFB58FBBCAF}"/>
    <hyperlink ref="D148" r:id="rId38" xr:uid="{CDEBFE8A-C845-423B-B285-26B3224840DF}"/>
    <hyperlink ref="N150" r:id="rId39" xr:uid="{89D3F9EE-BB78-433B-8EF1-A9818BD238BB}"/>
    <hyperlink ref="M150" r:id="rId40" xr:uid="{8D160CAC-A727-438E-8FF4-03A6FD690C95}"/>
    <hyperlink ref="D165" r:id="rId41" xr:uid="{08D2F997-9572-4DB4-A22B-45B9C12D6A71}"/>
    <hyperlink ref="D172" r:id="rId42" xr:uid="{CE1D39D0-836F-4AA5-B440-AC3A3472C9CC}"/>
    <hyperlink ref="D173" r:id="rId43" xr:uid="{01060D22-FF9E-4DC8-BA65-0ABB66DFF76B}"/>
    <hyperlink ref="D175" r:id="rId44" xr:uid="{44476F7D-B3FA-4B0E-BFE7-1C1DB818E9A0}"/>
    <hyperlink ref="D181" r:id="rId45" xr:uid="{B8A41C6F-5E2A-448F-BF20-CE3448C7059F}"/>
    <hyperlink ref="D187" r:id="rId46" xr:uid="{6F6921C0-E9D2-4925-9FE9-3420E685C9ED}"/>
    <hyperlink ref="D195" r:id="rId47" xr:uid="{37EE1D55-A469-4F19-B694-14C34ED0CC7B}"/>
    <hyperlink ref="D197" r:id="rId48" xr:uid="{19BA2C49-81D5-4542-AFD2-5B2ECE0B0A32}"/>
    <hyperlink ref="D203" r:id="rId49" xr:uid="{5413A312-1F1F-41D9-8F2A-5833E22FAC69}"/>
    <hyperlink ref="D204" r:id="rId50" xr:uid="{063034FD-CFA2-49C5-9928-3D79503CAAAF}"/>
    <hyperlink ref="D205" r:id="rId51" xr:uid="{0E9EC420-1C81-49A7-9B70-2F3C644AA6C1}"/>
    <hyperlink ref="D208" r:id="rId52" xr:uid="{FE90D0D5-8757-4285-8BE7-A655A2021301}"/>
    <hyperlink ref="D209" r:id="rId53" xr:uid="{631325CE-54EC-4F08-A132-D91EE7CA58D8}"/>
    <hyperlink ref="D211" r:id="rId54" xr:uid="{37C6AC0D-8387-4AB0-82BC-BACEE9015E48}"/>
    <hyperlink ref="D214" r:id="rId55" xr:uid="{8FE606A8-40B1-4C47-A228-AD38CEDDAF89}"/>
    <hyperlink ref="D215" r:id="rId56" xr:uid="{3A75DDBB-939D-49C5-92B0-9149ED01E043}"/>
    <hyperlink ref="D216" r:id="rId57" xr:uid="{380890B9-039C-42AE-BE17-BB4764AE82B9}"/>
    <hyperlink ref="D217" r:id="rId58" xr:uid="{97F7EE5E-0B87-43A6-A728-08D2870FE312}"/>
    <hyperlink ref="D218" r:id="rId59" xr:uid="{A98C8AD0-4CB6-4674-81A7-4F57324A68DA}"/>
    <hyperlink ref="D219" r:id="rId60" xr:uid="{59DFCE70-9BC6-4868-969A-F820A75FE7CC}"/>
    <hyperlink ref="D220" r:id="rId61" xr:uid="{C6C5D455-C5E2-4132-88E3-DD2554A5A04F}"/>
    <hyperlink ref="D222" r:id="rId62" xr:uid="{C7717CDC-D939-42BB-8575-71805A0035D9}"/>
    <hyperlink ref="D223" r:id="rId63" xr:uid="{E5EEB72A-8FC0-48C9-BFAF-3AE75DDEA9B5}"/>
    <hyperlink ref="D224" r:id="rId64" xr:uid="{9339D6DE-18DC-4100-AFAD-9F9E179ECE29}"/>
    <hyperlink ref="D225" r:id="rId65" xr:uid="{532383A8-C17A-4E0E-A2AB-BEA9CBC64290}"/>
    <hyperlink ref="D226" r:id="rId66" xr:uid="{59041837-6F63-4C2B-9A37-7071A018A71E}"/>
    <hyperlink ref="D227" r:id="rId67" xr:uid="{3AD8D54B-3061-4D12-8B00-B602AD5DCF9A}"/>
  </hyperlinks>
  <pageMargins left="0.7" right="0.7" top="0.75" bottom="0.75" header="0.3" footer="0.3"/>
  <legacyDrawing r:id="rId68"/>
  <tableParts count="1">
    <tablePart r:id="rId69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CDDD79A-C342-4CBC-9F0A-C05D87754C81}">
          <x14:formula1>
            <xm:f>Dropdown!$B$2:$B$3</xm:f>
          </x14:formula1>
          <xm:sqref>G2:H362</xm:sqref>
        </x14:dataValidation>
        <x14:dataValidation type="list" allowBlank="1" showInputMessage="1" showErrorMessage="1" xr:uid="{51DEFB8D-7A5F-470F-9915-67CE6472515C}">
          <x14:formula1>
            <xm:f>Dropdown!$C$2:$C$3</xm:f>
          </x14:formula1>
          <xm:sqref>I2:I362</xm:sqref>
        </x14:dataValidation>
        <x14:dataValidation type="list" allowBlank="1" showInputMessage="1" showErrorMessage="1" xr:uid="{06E5E83D-C66D-4AEB-BB94-CA2934530B72}">
          <x14:formula1>
            <xm:f>Dropdown!$D$2:$D$4</xm:f>
          </x14:formula1>
          <xm:sqref>J2:J362</xm:sqref>
        </x14:dataValidation>
        <x14:dataValidation type="list" allowBlank="1" showInputMessage="1" showErrorMessage="1" xr:uid="{F95EFBB0-3E9B-4946-B9E9-3D12C3FEB1CE}">
          <x14:formula1>
            <xm:f>Dropdown!$F$2:$F$6</xm:f>
          </x14:formula1>
          <xm:sqref>O2:O362</xm:sqref>
        </x14:dataValidation>
        <x14:dataValidation type="list" allowBlank="1" showInputMessage="1" showErrorMessage="1" xr:uid="{A1A98398-130E-464C-A589-1BC3C6BD7040}">
          <x14:formula1>
            <xm:f>Dropdown!$A$2:$A$10</xm:f>
          </x14:formula1>
          <xm:sqref>B1:B1048576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25C0-4D29-4971-86FD-536DACB45329}">
  <dimension ref="A1:AB379"/>
  <sheetViews>
    <sheetView workbookViewId="0">
      <selection activeCell="AB6" sqref="AB6"/>
    </sheetView>
  </sheetViews>
  <sheetFormatPr defaultRowHeight="15" customHeight="1"/>
  <cols>
    <col min="1" max="1" width="7.28515625" style="3" customWidth="1"/>
    <col min="2" max="2" width="16.7109375" bestFit="1" customWidth="1"/>
    <col min="3" max="3" width="17.140625" customWidth="1"/>
    <col min="4" max="4" width="36.5703125" customWidth="1"/>
    <col min="5" max="6" width="13.28515625" customWidth="1"/>
    <col min="7" max="7" width="7.7109375" customWidth="1"/>
    <col min="8" max="8" width="21" customWidth="1"/>
    <col min="9" max="9" width="15.85546875" customWidth="1"/>
    <col min="10" max="11" width="15.85546875" hidden="1" customWidth="1"/>
    <col min="12" max="12" width="11.7109375" hidden="1" customWidth="1"/>
    <col min="13" max="13" width="15.85546875" customWidth="1"/>
    <col min="14" max="15" width="15.85546875" hidden="1" customWidth="1"/>
    <col min="16" max="16" width="15.85546875" customWidth="1"/>
    <col min="17" max="20" width="15.85546875" hidden="1" customWidth="1"/>
    <col min="21" max="21" width="14.42578125" hidden="1" customWidth="1"/>
    <col min="22" max="24" width="8.85546875" hidden="1" customWidth="1"/>
    <col min="25" max="25" width="10.85546875" hidden="1" customWidth="1"/>
    <col min="26" max="26" width="8.85546875" hidden="1" customWidth="1"/>
  </cols>
  <sheetData>
    <row r="1" spans="1:26" ht="42.6" customHeight="1">
      <c r="A1" s="8" t="s">
        <v>20</v>
      </c>
      <c r="B1" s="8" t="s">
        <v>0</v>
      </c>
      <c r="C1" s="8" t="s">
        <v>21</v>
      </c>
      <c r="D1" s="8" t="s">
        <v>22</v>
      </c>
      <c r="E1" s="8" t="s">
        <v>24</v>
      </c>
      <c r="F1" s="9" t="s">
        <v>4</v>
      </c>
      <c r="G1" s="18" t="s">
        <v>7</v>
      </c>
      <c r="H1" s="18" t="s">
        <v>1138</v>
      </c>
      <c r="I1" s="18" t="s">
        <v>1139</v>
      </c>
      <c r="J1" s="11" t="s">
        <v>1140</v>
      </c>
      <c r="K1" s="9" t="s">
        <v>1141</v>
      </c>
      <c r="L1" s="9" t="s">
        <v>1142</v>
      </c>
      <c r="M1" s="18" t="s">
        <v>1143</v>
      </c>
      <c r="N1" s="11" t="s">
        <v>1144</v>
      </c>
      <c r="O1" s="11" t="s">
        <v>1145</v>
      </c>
      <c r="P1" s="18" t="s">
        <v>1146</v>
      </c>
      <c r="Q1" s="9" t="s">
        <v>1147</v>
      </c>
      <c r="R1" s="11" t="s">
        <v>1148</v>
      </c>
      <c r="S1" s="11" t="s">
        <v>1149</v>
      </c>
      <c r="T1" s="9" t="s">
        <v>1150</v>
      </c>
      <c r="U1" s="9" t="s">
        <v>1151</v>
      </c>
      <c r="V1" s="9" t="s">
        <v>25</v>
      </c>
      <c r="W1" s="9" t="s">
        <v>1152</v>
      </c>
      <c r="X1" s="9" t="s">
        <v>27</v>
      </c>
      <c r="Y1" s="9" t="s">
        <v>28</v>
      </c>
      <c r="Z1" s="9" t="s">
        <v>29</v>
      </c>
    </row>
    <row r="2" spans="1:26">
      <c r="A2" s="3">
        <f>Table1[[#This Row],[SL No.]]</f>
        <v>1</v>
      </c>
      <c r="B2" t="str">
        <f>Table1[[#This Row],[Case manager]]</f>
        <v>Husain</v>
      </c>
      <c r="C2" t="str">
        <f>Table1[[#This Row],[Ref No]]</f>
        <v>JCP/25/172042</v>
      </c>
      <c r="D2" t="str">
        <f>Table1[[#This Row],[Name]]</f>
        <v>WALEED ABDULWAHID J ABDULAZIZ</v>
      </c>
      <c r="E2" s="4">
        <f>'Placements 26'!F2</f>
        <v>46028</v>
      </c>
      <c r="F2" s="4" t="str">
        <f t="shared" ref="F2:F64" ca="1" si="0">IF(S2&gt;=1,"Claimable","Claimed")</f>
        <v>Claimable</v>
      </c>
      <c r="G2" s="4" t="s">
        <v>171</v>
      </c>
      <c r="H2" s="4"/>
      <c r="I2" s="25">
        <v>46042</v>
      </c>
      <c r="J2">
        <f>IF(Table3[[#This Row],[Placement Fee &amp; Variables]]&gt;0,0,1)</f>
        <v>0</v>
      </c>
      <c r="K2" s="4">
        <f>Table3[[#This Row],[Joining Date]]+180</f>
        <v>46208</v>
      </c>
      <c r="L2" t="str">
        <f ca="1">IF(AND(M2="", K2&lt;=TODAY()), "Claimable", "")</f>
        <v>Claimable</v>
      </c>
      <c r="M2" s="4"/>
      <c r="N2">
        <f ca="1">IF(Table3[[#This Row],[6M Stat]]="Claimable",1,0)</f>
        <v>1</v>
      </c>
      <c r="O2" s="4">
        <f>Table3[[#This Row],[Joining Date]]+365</f>
        <v>46393</v>
      </c>
      <c r="Q2" t="str">
        <f ca="1">IF(AND(P2="", O2&lt;=TODAY()), "Claimable", "")</f>
        <v/>
      </c>
      <c r="R2">
        <f ca="1">IF(Table3[[#This Row],[12 M Stat]]="Claimable",1,0)</f>
        <v>0</v>
      </c>
      <c r="S2">
        <f ca="1">Table3[[#This Row],[Placement claim Highlight]]+Table3[[#This Row],[Highlight rule 6M]]+Table3[[#This Row],[Highlight rule 12 M]]</f>
        <v>1</v>
      </c>
      <c r="T2" s="6">
        <f>SUM(Table3[[#This Row],[Placement Fee]:[Salary]])</f>
        <v>605</v>
      </c>
      <c r="U2" s="6">
        <v>550</v>
      </c>
      <c r="V2" s="6">
        <f>IF(Table1[[#This Row],[MoL]]="Yes",55,0)</f>
        <v>55</v>
      </c>
      <c r="W2" s="6">
        <f>IF(Table1[[#This Row],[Long MoL +3 Years]]="Yes",137.5,0)</f>
        <v>0</v>
      </c>
      <c r="X2" s="6">
        <f>IF(Table1[[#This Row],[Gender]]="Female",137.5,0)</f>
        <v>0</v>
      </c>
      <c r="Y2" s="6">
        <f>IF(Table1[[#This Row],[Education]]="Bachelors +",55,0)</f>
        <v>0</v>
      </c>
      <c r="Z2" s="6">
        <f>IF(Table1[[#This Row],[Salary]]&gt;=600,82.5,0)</f>
        <v>0</v>
      </c>
    </row>
    <row r="3" spans="1:26">
      <c r="A3" s="3">
        <f>Table1[[#This Row],[SL No.]]</f>
        <v>2</v>
      </c>
      <c r="B3" t="str">
        <f>Table1[[#This Row],[Case manager]]</f>
        <v>Meaad</v>
      </c>
      <c r="C3" t="str">
        <f>Table1[[#This Row],[Ref No]]</f>
        <v>JCP/24/057296</v>
      </c>
      <c r="D3" t="str">
        <f>Table1[[#This Row],[Name]]</f>
        <v>ASMA MOHAMMAD ASHFAQMO DIN</v>
      </c>
      <c r="E3" s="4">
        <f>'Placements 26'!F3</f>
        <v>46035</v>
      </c>
      <c r="F3" s="4" t="str">
        <f t="shared" ca="1" si="0"/>
        <v>Claimable</v>
      </c>
      <c r="G3" s="4" t="s">
        <v>171</v>
      </c>
      <c r="H3" s="4"/>
      <c r="I3" s="4">
        <v>46042</v>
      </c>
      <c r="J3">
        <f>IF(Table3[[#This Row],[Placement Fee &amp; Variables]]&gt;0,0,1)</f>
        <v>0</v>
      </c>
      <c r="K3" s="4">
        <f>Table3[[#This Row],[Joining Date]]+180</f>
        <v>46215</v>
      </c>
      <c r="L3" t="str">
        <f ca="1">IF(AND(M3="", K3&lt;=TODAY()), "Claimable", "")</f>
        <v>Claimable</v>
      </c>
      <c r="M3" s="4"/>
      <c r="N3">
        <f ca="1">IF(Table3[[#This Row],[6M Stat]]="Claimable",1,0)</f>
        <v>1</v>
      </c>
      <c r="O3" s="4">
        <f>Table3[[#This Row],[Joining Date]]+365</f>
        <v>46400</v>
      </c>
      <c r="Q3" t="str">
        <f t="shared" ref="Q3:Q66" ca="1" si="1">IF(AND(P3="", O3&lt;=TODAY()), "Claimable", "")</f>
        <v/>
      </c>
      <c r="R3">
        <f ca="1">IF(Table3[[#This Row],[12 M Stat]]="Claimable",1,0)</f>
        <v>0</v>
      </c>
      <c r="S3">
        <f ca="1">Table3[[#This Row],[Placement claim Highlight]]+Table3[[#This Row],[Highlight rule 6M]]+Table3[[#This Row],[Highlight rule 12 M]]</f>
        <v>1</v>
      </c>
      <c r="T3" s="6">
        <f>SUM(Table3[[#This Row],[Placement Fee]:[Salary]])</f>
        <v>797.5</v>
      </c>
      <c r="U3" s="6">
        <v>550</v>
      </c>
      <c r="V3" s="6">
        <f>IF(Table1[[#This Row],[MoL]]="Yes",55,0)</f>
        <v>55</v>
      </c>
      <c r="W3" s="6">
        <f>IF(Table1[[#This Row],[Long MoL +3 Years]]="Yes",137.5,0)</f>
        <v>0</v>
      </c>
      <c r="X3" s="6">
        <f>IF(Table1[[#This Row],[Gender]]="Female",137.5,0)</f>
        <v>137.5</v>
      </c>
      <c r="Y3" s="6">
        <f>IF(Table1[[#This Row],[Education]]="Bachelors +",55,0)</f>
        <v>55</v>
      </c>
      <c r="Z3" s="6">
        <f>IF(Table1[[#This Row],[Salary]]&gt;=600,82.5,0)</f>
        <v>0</v>
      </c>
    </row>
    <row r="4" spans="1:26">
      <c r="A4" s="3">
        <f>Table1[[#This Row],[SL No.]]</f>
        <v>3</v>
      </c>
      <c r="B4" t="str">
        <f>Table1[[#This Row],[Case manager]]</f>
        <v>Malak</v>
      </c>
      <c r="C4" t="str">
        <f>Table1[[#This Row],[Ref No]]</f>
        <v>JCP/25/218398</v>
      </c>
      <c r="D4" t="str">
        <f>Table1[[#This Row],[Name]]</f>
        <v>ZIYAD TAREQ MAJEDA ALTHAWADI</v>
      </c>
      <c r="E4" s="4">
        <f>'Placements 26'!F4</f>
        <v>46033</v>
      </c>
      <c r="F4" s="4" t="str">
        <f t="shared" ca="1" si="0"/>
        <v>Claimed</v>
      </c>
      <c r="G4" s="4" t="s">
        <v>171</v>
      </c>
      <c r="H4" s="4"/>
      <c r="I4" s="4">
        <v>46042</v>
      </c>
      <c r="J4">
        <f>IF(Table3[[#This Row],[Placement Fee &amp; Variables]]&gt;0,0,1)</f>
        <v>0</v>
      </c>
      <c r="K4" s="4">
        <f>Table3[[#This Row],[Joining Date]]+180</f>
        <v>46213</v>
      </c>
      <c r="L4" t="str">
        <f t="shared" ref="L4:L66" ca="1" si="2">IF(AND(M4="", K4&lt;=TODAY()), "Claimable", "")</f>
        <v/>
      </c>
      <c r="M4" s="4">
        <v>46245</v>
      </c>
      <c r="N4">
        <f ca="1">IF(Table3[[#This Row],[6M Stat]]="Claimable",1,0)</f>
        <v>0</v>
      </c>
      <c r="O4" s="4">
        <f>Table3[[#This Row],[Joining Date]]+365</f>
        <v>46398</v>
      </c>
      <c r="Q4" t="str">
        <f t="shared" ca="1" si="1"/>
        <v/>
      </c>
      <c r="R4">
        <f ca="1">IF(Table3[[#This Row],[12 M Stat]]="Claimable",1,0)</f>
        <v>0</v>
      </c>
      <c r="S4">
        <f ca="1">Table3[[#This Row],[Placement claim Highlight]]+Table3[[#This Row],[Highlight rule 6M]]+Table3[[#This Row],[Highlight rule 12 M]]</f>
        <v>0</v>
      </c>
      <c r="T4" s="6">
        <f>SUM(Table3[[#This Row],[Placement Fee]:[Salary]])</f>
        <v>110</v>
      </c>
      <c r="U4" s="6"/>
      <c r="V4" s="6">
        <f>IF(Table1[[#This Row],[MoL]]="Yes",55,0)</f>
        <v>55</v>
      </c>
      <c r="W4" s="6">
        <f>IF(Table1[[#This Row],[Long MoL +3 Years]]="Yes",137.5,0)</f>
        <v>0</v>
      </c>
      <c r="X4" s="6">
        <f>IF(Table1[[#This Row],[Gender]]="Female",137.5,0)</f>
        <v>0</v>
      </c>
      <c r="Y4" s="6">
        <f>IF(Table1[[#This Row],[Education]]="Bachelors +",55,0)</f>
        <v>55</v>
      </c>
      <c r="Z4" s="6">
        <f>IF(Table1[[#This Row],[Salary]]&gt;=600,82.5,0)</f>
        <v>0</v>
      </c>
    </row>
    <row r="5" spans="1:26">
      <c r="A5" s="3">
        <f>Table1[[#This Row],[SL No.]]</f>
        <v>4</v>
      </c>
      <c r="B5" t="str">
        <f>Table1[[#This Row],[Case manager]]</f>
        <v>Zainab Mattar</v>
      </c>
      <c r="C5" t="str">
        <f>Table1[[#This Row],[Ref No]]</f>
        <v>JCP/25/183340</v>
      </c>
      <c r="D5" t="str">
        <f>Table1[[#This Row],[Name]]</f>
        <v>AYSHA OMAR SALEH AL ALYAZEEDI</v>
      </c>
      <c r="E5" s="4">
        <v>46033</v>
      </c>
      <c r="F5" s="4" t="str">
        <f t="shared" ca="1" si="0"/>
        <v>Claimable</v>
      </c>
      <c r="G5" s="4" t="s">
        <v>171</v>
      </c>
      <c r="H5" s="4"/>
      <c r="I5" s="4">
        <v>46042</v>
      </c>
      <c r="J5">
        <f>IF(Table3[[#This Row],[Placement Fee &amp; Variables]]&gt;0,0,1)</f>
        <v>0</v>
      </c>
      <c r="K5" s="4">
        <f>Table3[[#This Row],[Joining Date]]+180</f>
        <v>46213</v>
      </c>
      <c r="L5" t="str">
        <f t="shared" ca="1" si="2"/>
        <v>Claimable</v>
      </c>
      <c r="N5">
        <f ca="1">IF(Table3[[#This Row],[6M Stat]]="Claimable",1,0)</f>
        <v>1</v>
      </c>
      <c r="O5" s="4">
        <f>Table3[[#This Row],[Joining Date]]+365</f>
        <v>46398</v>
      </c>
      <c r="Q5" t="str">
        <f t="shared" ca="1" si="1"/>
        <v/>
      </c>
      <c r="R5">
        <f ca="1">IF(Table3[[#This Row],[12 M Stat]]="Claimable",1,0)</f>
        <v>0</v>
      </c>
      <c r="S5">
        <f ca="1">Table3[[#This Row],[Placement claim Highlight]]+Table3[[#This Row],[Highlight rule 6M]]+Table3[[#This Row],[Highlight rule 12 M]]</f>
        <v>1</v>
      </c>
      <c r="T5" s="6">
        <f>SUM(Table3[[#This Row],[Placement Fee]:[Salary]])</f>
        <v>192.5</v>
      </c>
      <c r="U5" s="6"/>
      <c r="V5" s="6">
        <f>IF(Table1[[#This Row],[MoL]]="Yes",55,0)</f>
        <v>55</v>
      </c>
      <c r="W5" s="6">
        <f>IF(Table1[[#This Row],[Long MoL +3 Years]]="Yes",137.5,0)</f>
        <v>0</v>
      </c>
      <c r="X5" s="6">
        <f>IF(Table1[[#This Row],[Gender]]="Female",137.5,0)</f>
        <v>137.5</v>
      </c>
      <c r="Y5" s="6">
        <f>IF(Table1[[#This Row],[Education]]="Bachelors +",55,0)</f>
        <v>0</v>
      </c>
      <c r="Z5" s="6">
        <f>IF(Table1[[#This Row],[Salary]]&gt;=600,82.5,0)</f>
        <v>0</v>
      </c>
    </row>
    <row r="6" spans="1:26">
      <c r="A6" s="3">
        <f>Table1[[#This Row],[SL No.]]</f>
        <v>5</v>
      </c>
      <c r="B6" t="str">
        <f>Table1[[#This Row],[Case manager]]</f>
        <v>Meaad</v>
      </c>
      <c r="C6" t="str">
        <f>Table1[[#This Row],[Ref No]]</f>
        <v>JCP/25/210558</v>
      </c>
      <c r="D6" t="str">
        <f>Table1[[#This Row],[Name]]</f>
        <v>ali  abdulameer  ali ali mohamed</v>
      </c>
      <c r="E6" s="4">
        <v>46033</v>
      </c>
      <c r="F6" s="4" t="str">
        <f t="shared" ca="1" si="0"/>
        <v>Claimable</v>
      </c>
      <c r="G6" s="4" t="s">
        <v>171</v>
      </c>
      <c r="H6" s="4"/>
      <c r="I6" s="4">
        <v>46043</v>
      </c>
      <c r="J6">
        <f>IF(Table3[[#This Row],[Placement Fee &amp; Variables]]&gt;0,0,1)</f>
        <v>0</v>
      </c>
      <c r="K6" s="4">
        <f>Table3[[#This Row],[Joining Date]]+180</f>
        <v>46213</v>
      </c>
      <c r="L6" t="str">
        <f t="shared" ca="1" si="2"/>
        <v>Claimable</v>
      </c>
      <c r="N6">
        <f ca="1">IF(Table3[[#This Row],[6M Stat]]="Claimable",1,0)</f>
        <v>1</v>
      </c>
      <c r="O6" s="4">
        <f>Table3[[#This Row],[Joining Date]]+365</f>
        <v>46398</v>
      </c>
      <c r="Q6" t="str">
        <f t="shared" ca="1" si="1"/>
        <v/>
      </c>
      <c r="R6">
        <f ca="1">IF(Table3[[#This Row],[12 M Stat]]="Claimable",1,0)</f>
        <v>0</v>
      </c>
      <c r="S6">
        <f ca="1">Table3[[#This Row],[Placement claim Highlight]]+Table3[[#This Row],[Highlight rule 6M]]+Table3[[#This Row],[Highlight rule 12 M]]</f>
        <v>1</v>
      </c>
      <c r="T6" s="6">
        <f>SUM(Table3[[#This Row],[Placement Fee]:[Salary]])</f>
        <v>192.5</v>
      </c>
      <c r="U6" s="6"/>
      <c r="V6" s="6">
        <f>IF(Table1[[#This Row],[MoL]]="Yes",55,0)</f>
        <v>55</v>
      </c>
      <c r="W6" s="6">
        <f>IF(Table1[[#This Row],[Long MoL +3 Years]]="Yes",137.5,0)</f>
        <v>137.5</v>
      </c>
      <c r="X6" s="6">
        <f>IF(Table1[[#This Row],[Gender]]="Female",137.5,0)</f>
        <v>0</v>
      </c>
      <c r="Y6" s="6">
        <f>IF(Table1[[#This Row],[Education]]="Bachelors +",55,0)</f>
        <v>0</v>
      </c>
      <c r="Z6" s="6">
        <f>IF(Table1[[#This Row],[Salary]]&gt;=600,82.5,0)</f>
        <v>0</v>
      </c>
    </row>
    <row r="7" spans="1:26">
      <c r="A7" s="3">
        <f>Table1[[#This Row],[SL No.]]</f>
        <v>6</v>
      </c>
      <c r="B7" t="str">
        <f>Table1[[#This Row],[Case manager]]</f>
        <v>Meaad</v>
      </c>
      <c r="C7" t="str">
        <f>Table1[[#This Row],[Ref No]]</f>
        <v>JCP/25/267702</v>
      </c>
      <c r="D7" t="str">
        <f>Table1[[#This Row],[Name]]</f>
        <v xml:space="preserve"> ABBAS AHMED A ALHANNAN</v>
      </c>
      <c r="E7" s="4">
        <f>'Placements 26'!F7</f>
        <v>46033</v>
      </c>
      <c r="F7" s="4" t="str">
        <f t="shared" ca="1" si="0"/>
        <v>Claimed</v>
      </c>
      <c r="G7" s="4" t="s">
        <v>171</v>
      </c>
      <c r="H7" s="4"/>
      <c r="I7" s="4">
        <v>46044</v>
      </c>
      <c r="J7">
        <f>IF(Table3[[#This Row],[Placement Fee &amp; Variables]]&gt;0,0,1)</f>
        <v>0</v>
      </c>
      <c r="K7" s="4">
        <f>Table3[[#This Row],[Joining Date]]+180</f>
        <v>46213</v>
      </c>
      <c r="L7" t="str">
        <f t="shared" ca="1" si="2"/>
        <v/>
      </c>
      <c r="M7" s="4">
        <v>46216</v>
      </c>
      <c r="N7">
        <f ca="1">IF(Table3[[#This Row],[6M Stat]]="Claimable",1,0)</f>
        <v>0</v>
      </c>
      <c r="O7" s="4">
        <f>Table3[[#This Row],[Joining Date]]+365</f>
        <v>46398</v>
      </c>
      <c r="Q7" t="str">
        <f t="shared" ca="1" si="1"/>
        <v/>
      </c>
      <c r="R7">
        <f ca="1">IF(Table3[[#This Row],[12 M Stat]]="Claimable",1,0)</f>
        <v>0</v>
      </c>
      <c r="S7">
        <f ca="1">Table3[[#This Row],[Placement claim Highlight]]+Table3[[#This Row],[Highlight rule 6M]]+Table3[[#This Row],[Highlight rule 12 M]]</f>
        <v>0</v>
      </c>
      <c r="T7" s="6">
        <f>SUM(Table3[[#This Row],[Placement Fee]:[Salary]])</f>
        <v>55</v>
      </c>
      <c r="U7" s="6"/>
      <c r="V7" s="6">
        <f>IF(Table1[[#This Row],[MoL]]="Yes",55,0)</f>
        <v>55</v>
      </c>
      <c r="W7" s="6">
        <f>IF(Table1[[#This Row],[Long MoL +3 Years]]="Yes",137.5,0)</f>
        <v>0</v>
      </c>
      <c r="X7" s="6">
        <f>IF(Table1[[#This Row],[Gender]]="Female",137.5,0)</f>
        <v>0</v>
      </c>
      <c r="Y7" s="6">
        <f>IF(Table1[[#This Row],[Education]]="Bachelors +",55,0)</f>
        <v>0</v>
      </c>
      <c r="Z7" s="6">
        <f>IF(Table1[[#This Row],[Salary]]&gt;=600,82.5,0)</f>
        <v>0</v>
      </c>
    </row>
    <row r="8" spans="1:26">
      <c r="A8" s="3">
        <f>Table1[[#This Row],[SL No.]]</f>
        <v>7</v>
      </c>
      <c r="B8" s="10" t="str">
        <f>Table1[[#This Row],[Case manager]]</f>
        <v>Meaad</v>
      </c>
      <c r="C8" t="str">
        <f>Table1[[#This Row],[Ref No]]</f>
        <v>JCP/25/267727</v>
      </c>
      <c r="D8" t="str">
        <f>Table1[[#This Row],[Name]]</f>
        <v>MAYTHAM MOHAMED JAAFAR A. MOHAMED ALI</v>
      </c>
      <c r="E8" s="4">
        <f>'Placements 26'!F8</f>
        <v>46033</v>
      </c>
      <c r="F8" s="4" t="str">
        <f t="shared" ca="1" si="0"/>
        <v>Claimed</v>
      </c>
      <c r="G8" s="4" t="s">
        <v>171</v>
      </c>
      <c r="H8" s="4"/>
      <c r="I8" s="4">
        <v>46044</v>
      </c>
      <c r="J8">
        <f>IF(Table3[[#This Row],[Placement Fee &amp; Variables]]&gt;0,0,1)</f>
        <v>0</v>
      </c>
      <c r="K8" s="4">
        <f>Table3[[#This Row],[Joining Date]]+180</f>
        <v>46213</v>
      </c>
      <c r="L8" t="str">
        <f t="shared" ca="1" si="2"/>
        <v/>
      </c>
      <c r="M8" s="4">
        <v>46216</v>
      </c>
      <c r="N8">
        <f ca="1">IF(Table3[[#This Row],[6M Stat]]="Claimable",1,0)</f>
        <v>0</v>
      </c>
      <c r="O8" s="4">
        <f>Table3[[#This Row],[Joining Date]]+365</f>
        <v>46398</v>
      </c>
      <c r="Q8" t="str">
        <f t="shared" ca="1" si="1"/>
        <v/>
      </c>
      <c r="R8">
        <f ca="1">IF(Table3[[#This Row],[12 M Stat]]="Claimable",1,0)</f>
        <v>0</v>
      </c>
      <c r="S8">
        <f ca="1">Table3[[#This Row],[Placement claim Highlight]]+Table3[[#This Row],[Highlight rule 6M]]+Table3[[#This Row],[Highlight rule 12 M]]</f>
        <v>0</v>
      </c>
      <c r="T8" s="6">
        <f>SUM(Table3[[#This Row],[Placement Fee]:[Salary]])</f>
        <v>0</v>
      </c>
      <c r="U8" s="6"/>
      <c r="V8" s="6">
        <f>IF(Table1[[#This Row],[MoL]]="Yes",55,0)</f>
        <v>0</v>
      </c>
      <c r="W8" s="6">
        <f>IF(Table1[[#This Row],[Long MoL +3 Years]]="Yes",137.5,0)</f>
        <v>0</v>
      </c>
      <c r="X8" s="6">
        <f>IF(Table1[[#This Row],[Gender]]="Female",137.5,0)</f>
        <v>0</v>
      </c>
      <c r="Y8" s="6">
        <f>IF(Table1[[#This Row],[Education]]="Bachelors +",55,0)</f>
        <v>0</v>
      </c>
      <c r="Z8" s="6">
        <f>IF(Table1[[#This Row],[Salary]]&gt;=600,82.5,0)</f>
        <v>0</v>
      </c>
    </row>
    <row r="9" spans="1:26">
      <c r="A9" s="3">
        <f>Table1[[#This Row],[SL No.]]</f>
        <v>8</v>
      </c>
      <c r="B9" s="10" t="str">
        <f>Table1[[#This Row],[Case manager]]</f>
        <v>Zainab Mattar</v>
      </c>
      <c r="C9" t="str">
        <f>Table1[[#This Row],[Ref No]]</f>
        <v>JCP/25/204298</v>
      </c>
      <c r="D9" t="str">
        <f>Table1[[#This Row],[Name]]</f>
        <v>ABDULLA MOHAMED HOORAN MOHAMED AWAD ALENEZI</v>
      </c>
      <c r="E9" s="4">
        <f>'Placements 26'!F9</f>
        <v>46033</v>
      </c>
      <c r="F9" s="4" t="str">
        <f t="shared" ca="1" si="0"/>
        <v>Claimable</v>
      </c>
      <c r="G9" s="4" t="s">
        <v>171</v>
      </c>
      <c r="H9" s="4"/>
      <c r="I9" s="4">
        <v>46044</v>
      </c>
      <c r="J9">
        <f>IF(Table3[[#This Row],[Placement Fee &amp; Variables]]&gt;0,0,1)</f>
        <v>0</v>
      </c>
      <c r="K9" s="4">
        <f>Table3[[#This Row],[Joining Date]]+180</f>
        <v>46213</v>
      </c>
      <c r="L9" t="str">
        <f t="shared" ca="1" si="2"/>
        <v>Claimable</v>
      </c>
      <c r="N9">
        <f ca="1">IF(Table3[[#This Row],[6M Stat]]="Claimable",1,0)</f>
        <v>1</v>
      </c>
      <c r="O9" s="4">
        <f>Table3[[#This Row],[Joining Date]]+365</f>
        <v>46398</v>
      </c>
      <c r="Q9" t="str">
        <f t="shared" ca="1" si="1"/>
        <v/>
      </c>
      <c r="R9">
        <f ca="1">IF(Table3[[#This Row],[12 M Stat]]="Claimable",1,0)</f>
        <v>0</v>
      </c>
      <c r="S9">
        <f ca="1">Table3[[#This Row],[Placement claim Highlight]]+Table3[[#This Row],[Highlight rule 6M]]+Table3[[#This Row],[Highlight rule 12 M]]</f>
        <v>1</v>
      </c>
      <c r="T9" s="6">
        <f>SUM(Table3[[#This Row],[Placement Fee]:[Salary]])</f>
        <v>110</v>
      </c>
      <c r="U9" s="6"/>
      <c r="V9" s="6">
        <f>IF(Table1[[#This Row],[MoL]]="Yes",55,0)</f>
        <v>55</v>
      </c>
      <c r="W9" s="6">
        <f>IF(Table1[[#This Row],[Long MoL +3 Years]]="Yes",137.5,0)</f>
        <v>0</v>
      </c>
      <c r="X9" s="6">
        <f>IF(Table1[[#This Row],[Gender]]="Female",137.5,0)</f>
        <v>0</v>
      </c>
      <c r="Y9" s="6">
        <f>IF(Table1[[#This Row],[Education]]="Bachelors +",55,0)</f>
        <v>55</v>
      </c>
      <c r="Z9" s="6">
        <f>IF(Table1[[#This Row],[Salary]]&gt;=600,82.5,0)</f>
        <v>0</v>
      </c>
    </row>
    <row r="10" spans="1:26">
      <c r="A10" s="3">
        <f>Table1[[#This Row],[SL No.]]</f>
        <v>9</v>
      </c>
      <c r="B10" t="str">
        <f>Table1[[#This Row],[Case manager]]</f>
        <v>Meaad</v>
      </c>
      <c r="C10" t="str">
        <f>Table1[[#This Row],[Ref No]]</f>
        <v>JCP/26/268524</v>
      </c>
      <c r="D10" t="str">
        <f>Table1[[#This Row],[Name]]</f>
        <v>LULWA EZZ EBRAHIM ABDULAZIZ RASHED ALBANKI</v>
      </c>
      <c r="E10" s="4">
        <f>'Placements 26'!F10</f>
        <v>46033</v>
      </c>
      <c r="F10" s="4" t="str">
        <f t="shared" ca="1" si="0"/>
        <v>Claimed</v>
      </c>
      <c r="G10" s="4" t="s">
        <v>171</v>
      </c>
      <c r="H10" s="4"/>
      <c r="I10" s="4">
        <v>46131</v>
      </c>
      <c r="J10">
        <f>IF(Table3[[#This Row],[Placement Fee &amp; Variables]]&gt;0,0,1)</f>
        <v>0</v>
      </c>
      <c r="K10" s="4">
        <f>Table3[[#This Row],[Joining Date]]+180</f>
        <v>46213</v>
      </c>
      <c r="L10" t="str">
        <f t="shared" ca="1" si="2"/>
        <v/>
      </c>
      <c r="M10" s="4">
        <v>46188</v>
      </c>
      <c r="N10">
        <f ca="1">IF(Table3[[#This Row],[6M Stat]]="Claimable",1,0)</f>
        <v>0</v>
      </c>
      <c r="O10" s="4">
        <f>Table3[[#This Row],[Joining Date]]+365</f>
        <v>46398</v>
      </c>
      <c r="Q10" t="str">
        <f t="shared" ca="1" si="1"/>
        <v/>
      </c>
      <c r="R10">
        <f ca="1">IF(Table3[[#This Row],[12 M Stat]]="Claimable",1,0)</f>
        <v>0</v>
      </c>
      <c r="S10">
        <f ca="1">Table3[[#This Row],[Placement claim Highlight]]+Table3[[#This Row],[Highlight rule 6M]]+Table3[[#This Row],[Highlight rule 12 M]]</f>
        <v>0</v>
      </c>
      <c r="T10" s="6">
        <f>SUM(Table3[[#This Row],[Placement Fee]:[Salary]])</f>
        <v>247.5</v>
      </c>
      <c r="U10" s="6"/>
      <c r="V10" s="6">
        <f>IF(Table1[[#This Row],[MoL]]="Yes",55,0)</f>
        <v>55</v>
      </c>
      <c r="W10" s="6">
        <f>IF(Table1[[#This Row],[Long MoL +3 Years]]="Yes",137.5,0)</f>
        <v>0</v>
      </c>
      <c r="X10" s="6">
        <f>IF(Table1[[#This Row],[Gender]]="Female",137.5,0)</f>
        <v>137.5</v>
      </c>
      <c r="Y10" s="6">
        <f>IF(Table1[[#This Row],[Education]]="Bachelors +",55,0)</f>
        <v>55</v>
      </c>
      <c r="Z10" s="6">
        <f>IF(Table1[[#This Row],[Salary]]&gt;=600,82.5,0)</f>
        <v>0</v>
      </c>
    </row>
    <row r="11" spans="1:26">
      <c r="A11" s="3">
        <f>Table1[[#This Row],[SL No.]]</f>
        <v>10</v>
      </c>
      <c r="B11" t="str">
        <f>Table1[[#This Row],[Case manager]]</f>
        <v>Mahdi</v>
      </c>
      <c r="C11" t="str">
        <f>Table1[[#This Row],[Ref No]]</f>
        <v>JCP/26/268505</v>
      </c>
      <c r="D11" t="str">
        <f>Table1[[#This Row],[Name]]</f>
        <v>YUSUF ALI YUSUF HABIB DAGHER</v>
      </c>
      <c r="E11" s="4">
        <f>'Placements 26'!F11</f>
        <v>46033</v>
      </c>
      <c r="F11" s="4" t="str">
        <f t="shared" ca="1" si="0"/>
        <v>Claimable</v>
      </c>
      <c r="G11" s="4" t="s">
        <v>171</v>
      </c>
      <c r="H11" s="4"/>
      <c r="I11" s="4">
        <v>46131</v>
      </c>
      <c r="J11">
        <f>IF(Table3[[#This Row],[Placement Fee &amp; Variables]]&gt;0,0,1)</f>
        <v>0</v>
      </c>
      <c r="K11" s="4">
        <f>Table3[[#This Row],[Joining Date]]+180</f>
        <v>46213</v>
      </c>
      <c r="L11" t="str">
        <f t="shared" ca="1" si="2"/>
        <v>Claimable</v>
      </c>
      <c r="N11">
        <f ca="1">IF(Table3[[#This Row],[6M Stat]]="Claimable",1,0)</f>
        <v>1</v>
      </c>
      <c r="O11" s="4">
        <f>Table3[[#This Row],[Joining Date]]+365</f>
        <v>46398</v>
      </c>
      <c r="Q11" t="str">
        <f t="shared" ca="1" si="1"/>
        <v/>
      </c>
      <c r="R11">
        <f ca="1">IF(Table3[[#This Row],[12 M Stat]]="Claimable",1,0)</f>
        <v>0</v>
      </c>
      <c r="S11">
        <f ca="1">Table3[[#This Row],[Placement claim Highlight]]+Table3[[#This Row],[Highlight rule 6M]]+Table3[[#This Row],[Highlight rule 12 M]]</f>
        <v>1</v>
      </c>
      <c r="T11" s="6">
        <f>SUM(Table3[[#This Row],[Placement Fee]:[Salary]])</f>
        <v>0</v>
      </c>
      <c r="U11" s="6"/>
      <c r="V11" s="6">
        <f>IF(Table1[[#This Row],[MoL]]="Yes",55,0)</f>
        <v>0</v>
      </c>
      <c r="W11" s="6">
        <f>IF(Table1[[#This Row],[Long MoL +3 Years]]="Yes",137.5,0)</f>
        <v>0</v>
      </c>
      <c r="X11" s="6">
        <f>IF(Table1[[#This Row],[Gender]]="Female",137.5,0)</f>
        <v>0</v>
      </c>
      <c r="Y11" s="6">
        <f>IF(Table1[[#This Row],[Education]]="Bachelors +",55,0)</f>
        <v>0</v>
      </c>
      <c r="Z11" s="6">
        <f>IF(Table1[[#This Row],[Salary]]&gt;=600,82.5,0)</f>
        <v>0</v>
      </c>
    </row>
    <row r="12" spans="1:26">
      <c r="A12" s="3">
        <f>Table1[[#This Row],[SL No.]]</f>
        <v>11</v>
      </c>
      <c r="B12" t="str">
        <f>Table1[[#This Row],[Case manager]]</f>
        <v>Meaad</v>
      </c>
      <c r="C12" t="str">
        <f>Table1[[#This Row],[Ref No]]</f>
        <v>JCP/26/268879</v>
      </c>
      <c r="D12" t="str">
        <f>Table1[[#This Row],[Name]]</f>
        <v xml:space="preserve"> MERZA JAMEEL MIRZA ALARADI</v>
      </c>
      <c r="E12" s="4">
        <f>'Placements 26'!F12</f>
        <v>46033</v>
      </c>
      <c r="F12" s="4" t="str">
        <f t="shared" ca="1" si="0"/>
        <v>Claimed</v>
      </c>
      <c r="G12" s="4" t="s">
        <v>171</v>
      </c>
      <c r="H12" s="4"/>
      <c r="I12" s="4">
        <v>46044</v>
      </c>
      <c r="J12">
        <f>IF(Table3[[#This Row],[Placement Fee &amp; Variables]]&gt;0,0,1)</f>
        <v>0</v>
      </c>
      <c r="K12" s="4">
        <f>Table3[[#This Row],[Joining Date]]+180</f>
        <v>46213</v>
      </c>
      <c r="L12" t="str">
        <f t="shared" ca="1" si="2"/>
        <v/>
      </c>
      <c r="M12" s="4">
        <v>46208</v>
      </c>
      <c r="N12">
        <f ca="1">IF(Table3[[#This Row],[6M Stat]]="Claimable",1,0)</f>
        <v>0</v>
      </c>
      <c r="O12" s="4">
        <f>Table3[[#This Row],[Joining Date]]+365</f>
        <v>46398</v>
      </c>
      <c r="Q12" t="str">
        <f t="shared" ca="1" si="1"/>
        <v/>
      </c>
      <c r="R12">
        <f ca="1">IF(Table3[[#This Row],[12 M Stat]]="Claimable",1,0)</f>
        <v>0</v>
      </c>
      <c r="S12">
        <f ca="1">Table3[[#This Row],[Placement claim Highlight]]+Table3[[#This Row],[Highlight rule 6M]]+Table3[[#This Row],[Highlight rule 12 M]]</f>
        <v>0</v>
      </c>
      <c r="T12" s="6">
        <f>SUM(Table3[[#This Row],[Placement Fee]:[Salary]])</f>
        <v>247.5</v>
      </c>
      <c r="U12" s="6"/>
      <c r="V12" s="6">
        <f>IF(Table1[[#This Row],[MoL]]="Yes",55,0)</f>
        <v>55</v>
      </c>
      <c r="W12" s="6">
        <f>IF(Table1[[#This Row],[Long MoL +3 Years]]="Yes",137.5,0)</f>
        <v>137.5</v>
      </c>
      <c r="X12" s="6">
        <f>IF(Table1[[#This Row],[Gender]]="Female",137.5,0)</f>
        <v>0</v>
      </c>
      <c r="Y12" s="6">
        <f>IF(Table1[[#This Row],[Education]]="Bachelors +",55,0)</f>
        <v>55</v>
      </c>
      <c r="Z12" s="6">
        <f>IF(Table1[[#This Row],[Salary]]&gt;=600,82.5,0)</f>
        <v>0</v>
      </c>
    </row>
    <row r="13" spans="1:26">
      <c r="A13" s="3">
        <f>Table1[[#This Row],[SL No.]]</f>
        <v>12</v>
      </c>
      <c r="B13" t="str">
        <f>Table1[[#This Row],[Case manager]]</f>
        <v>Mahdi</v>
      </c>
      <c r="C13" t="str">
        <f>Table1[[#This Row],[Ref No]]</f>
        <v>JCP/26/268526</v>
      </c>
      <c r="D13" t="str">
        <f>Table1[[#This Row],[Name]]</f>
        <v>AHMED WAHEED AKHTAR M. ALI</v>
      </c>
      <c r="E13" s="4">
        <f>'Placements 26'!F13</f>
        <v>46033</v>
      </c>
      <c r="F13" s="4" t="str">
        <f t="shared" ca="1" si="0"/>
        <v>Claimable</v>
      </c>
      <c r="G13" s="4" t="s">
        <v>171</v>
      </c>
      <c r="H13" s="4"/>
      <c r="I13" s="4">
        <v>46043</v>
      </c>
      <c r="J13">
        <f>IF(Table3[[#This Row],[Placement Fee &amp; Variables]]&gt;0,0,1)</f>
        <v>0</v>
      </c>
      <c r="K13" s="4">
        <f>Table3[[#This Row],[Joining Date]]+180</f>
        <v>46213</v>
      </c>
      <c r="L13" t="str">
        <f t="shared" ca="1" si="2"/>
        <v>Claimable</v>
      </c>
      <c r="N13">
        <f ca="1">IF(Table3[[#This Row],[6M Stat]]="Claimable",1,0)</f>
        <v>1</v>
      </c>
      <c r="O13" s="4">
        <f>Table3[[#This Row],[Joining Date]]+365</f>
        <v>46398</v>
      </c>
      <c r="Q13" t="str">
        <f t="shared" ca="1" si="1"/>
        <v/>
      </c>
      <c r="R13">
        <f ca="1">IF(Table3[[#This Row],[12 M Stat]]="Claimable",1,0)</f>
        <v>0</v>
      </c>
      <c r="S13">
        <f ca="1">Table3[[#This Row],[Placement claim Highlight]]+Table3[[#This Row],[Highlight rule 6M]]+Table3[[#This Row],[Highlight rule 12 M]]</f>
        <v>1</v>
      </c>
      <c r="T13" s="6">
        <f>SUM(Table3[[#This Row],[Placement Fee]:[Salary]])</f>
        <v>192.5</v>
      </c>
      <c r="U13" s="6"/>
      <c r="V13" s="6">
        <f>IF(Table1[[#This Row],[MoL]]="Yes",55,0)</f>
        <v>55</v>
      </c>
      <c r="W13" s="6">
        <f>IF(Table1[[#This Row],[Long MoL +3 Years]]="Yes",137.5,0)</f>
        <v>137.5</v>
      </c>
      <c r="X13" s="6">
        <f>IF(Table1[[#This Row],[Gender]]="Female",137.5,0)</f>
        <v>0</v>
      </c>
      <c r="Y13" s="6">
        <f>IF(Table1[[#This Row],[Education]]="Bachelors +",55,0)</f>
        <v>0</v>
      </c>
      <c r="Z13" s="6">
        <f>IF(Table1[[#This Row],[Salary]]&gt;=600,82.5,0)</f>
        <v>0</v>
      </c>
    </row>
    <row r="14" spans="1:26">
      <c r="A14" s="3">
        <f>Table1[[#This Row],[SL No.]]</f>
        <v>13</v>
      </c>
      <c r="B14" t="str">
        <f>Table1[[#This Row],[Case manager]]</f>
        <v>Malak</v>
      </c>
      <c r="C14" t="str">
        <f>Table1[[#This Row],[Ref No]]</f>
        <v>JCP/25/219711</v>
      </c>
      <c r="D14" t="str">
        <f>Table1[[#This Row],[Name]]</f>
        <v>FATIMA HASAN ABDULLA BUHMAID</v>
      </c>
      <c r="E14" s="4">
        <f>'Placements 26'!F14</f>
        <v>46033</v>
      </c>
      <c r="F14" s="4" t="str">
        <f t="shared" ca="1" si="0"/>
        <v>Claimed</v>
      </c>
      <c r="G14" s="4" t="s">
        <v>171</v>
      </c>
      <c r="H14" s="4"/>
      <c r="I14" s="4">
        <v>46044</v>
      </c>
      <c r="J14">
        <f>IF(Table3[[#This Row],[Placement Fee &amp; Variables]]&gt;0,0,1)</f>
        <v>0</v>
      </c>
      <c r="K14" s="4">
        <f>Table3[[#This Row],[Joining Date]]+180</f>
        <v>46213</v>
      </c>
      <c r="L14" t="str">
        <f t="shared" ca="1" si="2"/>
        <v/>
      </c>
      <c r="M14" s="4">
        <v>46245</v>
      </c>
      <c r="N14">
        <f ca="1">IF(Table3[[#This Row],[6M Stat]]="Claimable",1,0)</f>
        <v>0</v>
      </c>
      <c r="O14" s="4">
        <f>Table3[[#This Row],[Joining Date]]+365</f>
        <v>46398</v>
      </c>
      <c r="Q14" t="str">
        <f t="shared" ca="1" si="1"/>
        <v/>
      </c>
      <c r="R14">
        <f ca="1">IF(Table3[[#This Row],[12 M Stat]]="Claimable",1,0)</f>
        <v>0</v>
      </c>
      <c r="S14">
        <f ca="1">Table3[[#This Row],[Placement claim Highlight]]+Table3[[#This Row],[Highlight rule 6M]]+Table3[[#This Row],[Highlight rule 12 M]]</f>
        <v>0</v>
      </c>
      <c r="T14" s="6">
        <f>SUM(Table3[[#This Row],[Placement Fee]:[Salary]])</f>
        <v>330</v>
      </c>
      <c r="U14" s="6"/>
      <c r="V14" s="6">
        <f>IF(Table1[[#This Row],[MoL]]="Yes",55,0)</f>
        <v>55</v>
      </c>
      <c r="W14" s="6">
        <f>IF(Table1[[#This Row],[Long MoL +3 Years]]="Yes",137.5,0)</f>
        <v>137.5</v>
      </c>
      <c r="X14" s="6">
        <f>IF(Table1[[#This Row],[Gender]]="Female",137.5,0)</f>
        <v>137.5</v>
      </c>
      <c r="Y14" s="6">
        <f>IF(Table1[[#This Row],[Education]]="Bachelors +",55,0)</f>
        <v>0</v>
      </c>
      <c r="Z14" s="6">
        <f>IF(Table1[[#This Row],[Salary]]&gt;=600,82.5,0)</f>
        <v>0</v>
      </c>
    </row>
    <row r="15" spans="1:26">
      <c r="A15" s="3">
        <f>Table1[[#This Row],[SL No.]]</f>
        <v>14</v>
      </c>
      <c r="B15" t="str">
        <f>Table1[[#This Row],[Case manager]]</f>
        <v>Husain</v>
      </c>
      <c r="C15" t="str">
        <f>Table1[[#This Row],[Ref No]]</f>
        <v>JCP/25/219615</v>
      </c>
      <c r="D15" t="str">
        <f>Table1[[#This Row],[Name]]</f>
        <v xml:space="preserve"> HUSAIN ABDULMONEM HU  MOTHANNA</v>
      </c>
      <c r="E15" s="4">
        <f>'Placements 26'!F15</f>
        <v>46005</v>
      </c>
      <c r="F15" s="4" t="str">
        <f ca="1">IF(S15&gt;=1,"Claimable","Claimed")</f>
        <v>Claimable</v>
      </c>
      <c r="G15" s="4" t="s">
        <v>171</v>
      </c>
      <c r="H15" s="4"/>
      <c r="I15" s="4">
        <v>46040</v>
      </c>
      <c r="J15">
        <f>IF(Table3[[#This Row],[Placement Fee &amp; Variables]]&gt;0,0,1)</f>
        <v>0</v>
      </c>
      <c r="K15" s="4">
        <f>Table3[[#This Row],[Joining Date]]+180</f>
        <v>46185</v>
      </c>
      <c r="L15" t="str">
        <f t="shared" ca="1" si="2"/>
        <v>Claimable</v>
      </c>
      <c r="N15">
        <f ca="1">IF(Table3[[#This Row],[6M Stat]]="Claimable",1,0)</f>
        <v>1</v>
      </c>
      <c r="O15" s="4">
        <f>Table3[[#This Row],[Joining Date]]+365</f>
        <v>46370</v>
      </c>
      <c r="Q15" t="str">
        <f t="shared" ca="1" si="1"/>
        <v/>
      </c>
      <c r="R15">
        <f ca="1">IF(Table3[[#This Row],[12 M Stat]]="Claimable",1,0)</f>
        <v>0</v>
      </c>
      <c r="S15">
        <f ca="1">Table3[[#This Row],[Placement claim Highlight]]+Table3[[#This Row],[Highlight rule 6M]]+Table3[[#This Row],[Highlight rule 12 M]]</f>
        <v>1</v>
      </c>
      <c r="T15" s="6">
        <f>SUM(Table3[[#This Row],[Placement Fee]:[Salary]])</f>
        <v>55</v>
      </c>
      <c r="U15" s="6"/>
      <c r="V15" s="6">
        <f>IF(Table1[[#This Row],[MoL]]="Yes",55,0)</f>
        <v>55</v>
      </c>
      <c r="W15" s="6">
        <f>IF(Table1[[#This Row],[Long MoL +3 Years]]="Yes",137.5,0)</f>
        <v>0</v>
      </c>
      <c r="X15" s="6">
        <f>IF(Table1[[#This Row],[Gender]]="Female",137.5,0)</f>
        <v>0</v>
      </c>
      <c r="Y15" s="6">
        <f>IF(Table1[[#This Row],[Education]]="Bachelors +",55,0)</f>
        <v>0</v>
      </c>
      <c r="Z15" s="6">
        <f>IF(Table1[[#This Row],[Salary]]&gt;=600,82.5,0)</f>
        <v>0</v>
      </c>
    </row>
    <row r="16" spans="1:26">
      <c r="A16" s="3">
        <f>Table1[[#This Row],[SL No.]]</f>
        <v>15</v>
      </c>
      <c r="B16" t="str">
        <f>Table1[[#This Row],[Case manager]]</f>
        <v>Husain</v>
      </c>
      <c r="C16" t="str">
        <f>Table1[[#This Row],[Ref No]]</f>
        <v>JCP/25/232927</v>
      </c>
      <c r="D16" t="str">
        <f>Table1[[#This Row],[Name]]</f>
        <v>SAYED MOHAMED SAEED HASAN ALAWI</v>
      </c>
      <c r="E16" s="4">
        <f>'Placements 26'!F16</f>
        <v>46005</v>
      </c>
      <c r="F16" s="4" t="str">
        <f t="shared" ca="1" si="0"/>
        <v>Claimable</v>
      </c>
      <c r="G16" s="4" t="s">
        <v>171</v>
      </c>
      <c r="H16" s="4"/>
      <c r="I16" s="4">
        <v>46041</v>
      </c>
      <c r="J16">
        <f>IF(Table3[[#This Row],[Placement Fee &amp; Variables]]&gt;0,0,1)</f>
        <v>0</v>
      </c>
      <c r="K16" s="4">
        <f>Table3[[#This Row],[Joining Date]]+180</f>
        <v>46185</v>
      </c>
      <c r="L16" t="str">
        <f t="shared" ca="1" si="2"/>
        <v>Claimable</v>
      </c>
      <c r="N16">
        <f ca="1">IF(Table3[[#This Row],[6M Stat]]="Claimable",1,0)</f>
        <v>1</v>
      </c>
      <c r="O16" s="4">
        <f>Table3[[#This Row],[Joining Date]]+365</f>
        <v>46370</v>
      </c>
      <c r="Q16" t="str">
        <f t="shared" ca="1" si="1"/>
        <v/>
      </c>
      <c r="R16">
        <f ca="1">IF(Table3[[#This Row],[12 M Stat]]="Claimable",1,0)</f>
        <v>0</v>
      </c>
      <c r="S16">
        <f ca="1">Table3[[#This Row],[Placement claim Highlight]]+Table3[[#This Row],[Highlight rule 6M]]+Table3[[#This Row],[Highlight rule 12 M]]</f>
        <v>1</v>
      </c>
      <c r="T16" s="6">
        <f>SUM(Table3[[#This Row],[Placement Fee]:[Salary]])</f>
        <v>110</v>
      </c>
      <c r="U16" s="6"/>
      <c r="V16" s="6">
        <f>IF(Table1[[#This Row],[MoL]]="Yes",55,0)</f>
        <v>55</v>
      </c>
      <c r="W16" s="6">
        <f>IF(Table1[[#This Row],[Long MoL +3 Years]]="Yes",137.5,0)</f>
        <v>0</v>
      </c>
      <c r="X16" s="6">
        <f>IF(Table1[[#This Row],[Gender]]="Female",137.5,0)</f>
        <v>0</v>
      </c>
      <c r="Y16" s="6">
        <f>IF(Table1[[#This Row],[Education]]="Bachelors +",55,0)</f>
        <v>55</v>
      </c>
      <c r="Z16" s="6">
        <f>IF(Table1[[#This Row],[Salary]]&gt;=600,82.5,0)</f>
        <v>0</v>
      </c>
    </row>
    <row r="17" spans="1:26">
      <c r="A17" s="3">
        <f>Table1[[#This Row],[SL No.]]</f>
        <v>16</v>
      </c>
      <c r="B17" t="str">
        <f>Table1[[#This Row],[Case manager]]</f>
        <v>Husain</v>
      </c>
      <c r="C17" t="str">
        <f>Table1[[#This Row],[Ref No]]</f>
        <v>JCP/25/214227</v>
      </c>
      <c r="D17" t="str">
        <f>Table1[[#This Row],[Name]]</f>
        <v>FATEMA WALEED HASAN SHOWIATER</v>
      </c>
      <c r="E17" s="4">
        <f>'Placements 26'!F17</f>
        <v>46006</v>
      </c>
      <c r="F17" s="4" t="str">
        <f t="shared" ca="1" si="0"/>
        <v>Claimable</v>
      </c>
      <c r="G17" s="4" t="s">
        <v>171</v>
      </c>
      <c r="H17" s="4"/>
      <c r="I17" s="4">
        <v>46042</v>
      </c>
      <c r="J17" s="4">
        <v>46042</v>
      </c>
      <c r="K17" s="4">
        <v>46043</v>
      </c>
      <c r="L17" s="4">
        <v>46044</v>
      </c>
      <c r="M17" s="4"/>
      <c r="N17">
        <f>IF(Table3[[#This Row],[6M Stat]]="Claimable",1,0)</f>
        <v>0</v>
      </c>
      <c r="O17" s="4">
        <f>Table3[[#This Row],[Joining Date]]+365</f>
        <v>46371</v>
      </c>
      <c r="Q17" t="str">
        <f t="shared" ca="1" si="1"/>
        <v/>
      </c>
      <c r="R17">
        <f ca="1">IF(Table3[[#This Row],[12 M Stat]]="Claimable",1,0)</f>
        <v>0</v>
      </c>
      <c r="S17">
        <f ca="1">Table3[[#This Row],[Placement claim Highlight]]+Table3[[#This Row],[Highlight rule 6M]]+Table3[[#This Row],[Highlight rule 12 M]]</f>
        <v>46042</v>
      </c>
      <c r="T17" s="6">
        <f>SUM(Table3[[#This Row],[Placement Fee]:[Salary]])</f>
        <v>247.5</v>
      </c>
      <c r="U17" s="6"/>
      <c r="V17" s="6">
        <f>IF(Table1[[#This Row],[MoL]]="Yes",55,0)</f>
        <v>55</v>
      </c>
      <c r="W17" s="6">
        <f>IF(Table1[[#This Row],[Long MoL +3 Years]]="Yes",137.5,0)</f>
        <v>0</v>
      </c>
      <c r="X17" s="6">
        <f>IF(Table1[[#This Row],[Gender]]="Female",137.5,0)</f>
        <v>137.5</v>
      </c>
      <c r="Y17" s="6">
        <f>IF(Table1[[#This Row],[Education]]="Bachelors +",55,0)</f>
        <v>55</v>
      </c>
      <c r="Z17" s="6">
        <f>IF(Table1[[#This Row],[Salary]]&gt;=600,82.5,0)</f>
        <v>0</v>
      </c>
    </row>
    <row r="18" spans="1:26">
      <c r="A18" s="3">
        <f>Table1[[#This Row],[SL No.]]</f>
        <v>17</v>
      </c>
      <c r="B18" t="str">
        <f>Table1[[#This Row],[Case manager]]</f>
        <v>Husain</v>
      </c>
      <c r="C18" t="str">
        <f>Table1[[#This Row],[Ref No]]</f>
        <v>JCP/25/212208</v>
      </c>
      <c r="D18" t="str">
        <f>Table1[[#This Row],[Name]]</f>
        <v>WALAA ISA A. HASAN</v>
      </c>
      <c r="E18" s="4">
        <f>'Placements 26'!F18</f>
        <v>45865</v>
      </c>
      <c r="F18" s="4" t="str">
        <f t="shared" ca="1" si="0"/>
        <v>Claimable</v>
      </c>
      <c r="G18" s="4" t="s">
        <v>171</v>
      </c>
      <c r="H18" s="4" t="s">
        <v>1153</v>
      </c>
      <c r="I18" s="4">
        <v>45865</v>
      </c>
      <c r="J18">
        <f>IF(Table3[[#This Row],[Placement Fee &amp; Variables]]&gt;0,0,1)</f>
        <v>0</v>
      </c>
      <c r="K18" s="4">
        <f>Table3[[#This Row],[Joining Date]]+180</f>
        <v>46045</v>
      </c>
      <c r="L18" t="str">
        <f t="shared" ca="1" si="2"/>
        <v/>
      </c>
      <c r="M18" s="4">
        <v>46042</v>
      </c>
      <c r="N18">
        <f ca="1">IF(Table3[[#This Row],[6M Stat]]="Claimable",1,0)</f>
        <v>0</v>
      </c>
      <c r="O18" s="4">
        <f>Table3[[#This Row],[Joining Date]]+365</f>
        <v>46230</v>
      </c>
      <c r="Q18" t="str">
        <f t="shared" ca="1" si="1"/>
        <v>Claimable</v>
      </c>
      <c r="R18">
        <f ca="1">IF(Table3[[#This Row],[12 M Stat]]="Claimable",1,0)</f>
        <v>1</v>
      </c>
      <c r="S18">
        <f ca="1">Table3[[#This Row],[Placement claim Highlight]]+Table3[[#This Row],[Highlight rule 6M]]+Table3[[#This Row],[Highlight rule 12 M]]</f>
        <v>1</v>
      </c>
      <c r="T18" s="6">
        <f>SUM(Table3[[#This Row],[Placement Fee]:[Salary]])</f>
        <v>330</v>
      </c>
      <c r="U18" s="6"/>
      <c r="V18" s="6">
        <f>IF(Table1[[#This Row],[MoL]]="Yes",55,0)</f>
        <v>55</v>
      </c>
      <c r="W18" s="6">
        <f>IF(Table1[[#This Row],[Long MoL +3 Years]]="Yes",137.5,0)</f>
        <v>0</v>
      </c>
      <c r="X18" s="6">
        <f>IF(Table1[[#This Row],[Gender]]="Female",137.5,0)</f>
        <v>137.5</v>
      </c>
      <c r="Y18" s="6">
        <f>IF(Table1[[#This Row],[Education]]="Bachelors +",55,0)</f>
        <v>55</v>
      </c>
      <c r="Z18" s="6">
        <f>IF(Table1[[#This Row],[Salary]]&gt;=600,82.5,0)</f>
        <v>82.5</v>
      </c>
    </row>
    <row r="19" spans="1:26">
      <c r="A19" s="3">
        <f>Table1[[#This Row],[SL No.]]</f>
        <v>18</v>
      </c>
      <c r="B19" t="str">
        <f>Table1[[#This Row],[Case manager]]</f>
        <v>Meaad</v>
      </c>
      <c r="C19" t="str">
        <f>Table1[[#This Row],[Ref No]]</f>
        <v>JCP/25/223039</v>
      </c>
      <c r="D19" t="str">
        <f>Table1[[#This Row],[Name]]</f>
        <v>SAYED ALI HASHEM E. ALQASSAB</v>
      </c>
      <c r="E19" s="4">
        <v>45956</v>
      </c>
      <c r="F19" s="4" t="str">
        <f ca="1">IF(S19&gt;=1,"Claimable","Claimed")</f>
        <v>Claimed</v>
      </c>
      <c r="G19" s="4" t="s">
        <v>171</v>
      </c>
      <c r="H19" s="4"/>
      <c r="I19" s="4">
        <v>46049</v>
      </c>
      <c r="J19">
        <f>IF(Table3[[#This Row],[Placement Fee &amp; Variables]]&gt;0,0,1)</f>
        <v>0</v>
      </c>
      <c r="K19" s="4">
        <f>Table3[[#This Row],[Joining Date]]+180</f>
        <v>46136</v>
      </c>
      <c r="L19" t="str">
        <f t="shared" ca="1" si="2"/>
        <v/>
      </c>
      <c r="M19" s="4">
        <v>46216</v>
      </c>
      <c r="N19">
        <f ca="1">IF(Table3[[#This Row],[6M Stat]]="Claimable",1,0)</f>
        <v>0</v>
      </c>
      <c r="O19" s="4">
        <f>Table3[[#This Row],[Joining Date]]+365</f>
        <v>46321</v>
      </c>
      <c r="Q19" t="str">
        <f t="shared" ca="1" si="1"/>
        <v/>
      </c>
      <c r="R19">
        <f ca="1">IF(Table3[[#This Row],[12 M Stat]]="Claimable",1,0)</f>
        <v>0</v>
      </c>
      <c r="S19">
        <f ca="1">Table3[[#This Row],[Placement claim Highlight]]+Table3[[#This Row],[Highlight rule 6M]]+Table3[[#This Row],[Highlight rule 12 M]]</f>
        <v>0</v>
      </c>
      <c r="T19" s="6">
        <f>SUM(Table3[[#This Row],[Placement Fee]:[Salary]])</f>
        <v>55</v>
      </c>
      <c r="U19" s="6"/>
      <c r="V19" s="6">
        <f>IF(Table1[[#This Row],[MoL]]="Yes",55,0)</f>
        <v>55</v>
      </c>
      <c r="W19" s="6">
        <f>IF(Table1[[#This Row],[Long MoL +3 Years]]="Yes",137.5,0)</f>
        <v>0</v>
      </c>
      <c r="X19" s="6">
        <f>IF(Table1[[#This Row],[Gender]]="Female",137.5,0)</f>
        <v>0</v>
      </c>
      <c r="Y19" s="6">
        <f>IF(Table1[[#This Row],[Education]]="Bachelors +",55,0)</f>
        <v>0</v>
      </c>
      <c r="Z19" s="6">
        <f>IF(Table1[[#This Row],[Salary]]&gt;=600,82.5,0)</f>
        <v>0</v>
      </c>
    </row>
    <row r="20" spans="1:26">
      <c r="A20" s="3">
        <f>Table1[[#This Row],[SL No.]]</f>
        <v>19</v>
      </c>
      <c r="B20" t="str">
        <f>Table1[[#This Row],[Case manager]]</f>
        <v>Malak</v>
      </c>
      <c r="C20" t="str">
        <f>Table1[[#This Row],[Ref No]]</f>
        <v>JCP/25/233228</v>
      </c>
      <c r="D20" t="str">
        <f>Table1[[#This Row],[Name]]</f>
        <v>SYED HAMID NAZIR HUSSAIN SHAH PIRZAMAN SHAH</v>
      </c>
      <c r="E20" s="4">
        <f>'Placements 26'!F20</f>
        <v>46054</v>
      </c>
      <c r="F20" s="4" t="s">
        <v>1154</v>
      </c>
      <c r="G20" s="4" t="s">
        <v>171</v>
      </c>
      <c r="H20" s="4"/>
      <c r="I20" s="4">
        <v>46054</v>
      </c>
      <c r="J20">
        <f>IF(Table3[[#This Row],[Placement Fee &amp; Variables]]&gt;0,0,1)</f>
        <v>0</v>
      </c>
      <c r="K20" s="4">
        <f>Table3[[#This Row],[Joining Date]]+180</f>
        <v>46234</v>
      </c>
      <c r="L20" t="str">
        <f t="shared" ca="1" si="2"/>
        <v>Claimable</v>
      </c>
      <c r="N20">
        <f ca="1">IF(Table3[[#This Row],[6M Stat]]="Claimable",1,0)</f>
        <v>1</v>
      </c>
      <c r="O20" s="4">
        <f>Table3[[#This Row],[Joining Date]]+365</f>
        <v>46419</v>
      </c>
      <c r="Q20" t="str">
        <f t="shared" ca="1" si="1"/>
        <v/>
      </c>
      <c r="R20">
        <f ca="1">IF(Table3[[#This Row],[12 M Stat]]="Claimable",1,0)</f>
        <v>0</v>
      </c>
      <c r="S20">
        <f ca="1">Table3[[#This Row],[Placement claim Highlight]]+Table3[[#This Row],[Highlight rule 6M]]+Table3[[#This Row],[Highlight rule 12 M]]</f>
        <v>1</v>
      </c>
      <c r="T20" s="6">
        <f>SUM(Table3[[#This Row],[Placement Fee]:[Salary]])</f>
        <v>55</v>
      </c>
      <c r="U20" s="6"/>
      <c r="V20" s="6">
        <f>IF(Table1[[#This Row],[MoL]]="Yes",55,0)</f>
        <v>55</v>
      </c>
      <c r="W20" s="6">
        <f>IF(Table1[[#This Row],[Long MoL +3 Years]]="Yes",137.5,0)</f>
        <v>0</v>
      </c>
      <c r="X20" s="6">
        <f>IF(Table1[[#This Row],[Gender]]="Female",137.5,0)</f>
        <v>0</v>
      </c>
      <c r="Y20" s="6">
        <f>IF(Table1[[#This Row],[Education]]="Bachelors +",55,0)</f>
        <v>0</v>
      </c>
      <c r="Z20" s="6">
        <f>IF(Table1[[#This Row],[Salary]]&gt;=600,82.5,0)</f>
        <v>0</v>
      </c>
    </row>
    <row r="21" spans="1:26" s="50" customFormat="1">
      <c r="A21" s="49">
        <f>Table1[[#This Row],[SL No.]]</f>
        <v>20</v>
      </c>
      <c r="B21" s="50" t="str">
        <f>Table1[[#This Row],[Case manager]]</f>
        <v>Dina</v>
      </c>
      <c r="C21" t="str">
        <f>Table1[[#This Row],[Ref No]]</f>
        <v>JCP/25/233782</v>
      </c>
      <c r="D21" s="50" t="str">
        <f>Table1[[#This Row],[Name]]</f>
        <v>FATEMA JAAFAR MOHAMED FARHAN</v>
      </c>
      <c r="E21" s="51">
        <f>'Placements 26'!F21</f>
        <v>45939</v>
      </c>
      <c r="F21" s="51" t="str">
        <f t="shared" ca="1" si="0"/>
        <v>Claimable</v>
      </c>
      <c r="G21" s="51" t="s">
        <v>171</v>
      </c>
      <c r="H21" s="51"/>
      <c r="I21" s="51">
        <v>46051</v>
      </c>
      <c r="J21">
        <f>IF(Table3[[#This Row],[Placement Fee &amp; Variables]]&gt;0,0,1)</f>
        <v>0</v>
      </c>
      <c r="K21" s="4">
        <f>Table3[[#This Row],[Joining Date]]+180</f>
        <v>46119</v>
      </c>
      <c r="L21" t="str">
        <f t="shared" ca="1" si="2"/>
        <v/>
      </c>
      <c r="M21" s="51">
        <v>46202</v>
      </c>
      <c r="N21">
        <f ca="1">IF(Table3[[#This Row],[6M Stat]]="Claimable",1,0)</f>
        <v>0</v>
      </c>
      <c r="O21" s="4">
        <f>Table3[[#This Row],[Joining Date]]+365</f>
        <v>46304</v>
      </c>
      <c r="Q21" t="str">
        <f t="shared" ca="1" si="1"/>
        <v>Claimable</v>
      </c>
      <c r="R21">
        <f ca="1">IF(Table3[[#This Row],[12 M Stat]]="Claimable",1,0)</f>
        <v>1</v>
      </c>
      <c r="S21">
        <f ca="1">Table3[[#This Row],[Placement claim Highlight]]+Table3[[#This Row],[Highlight rule 6M]]+Table3[[#This Row],[Highlight rule 12 M]]</f>
        <v>1</v>
      </c>
      <c r="T21" s="6">
        <f>SUM(Table3[[#This Row],[Placement Fee]:[Salary]])</f>
        <v>192.5</v>
      </c>
      <c r="U21" s="6"/>
      <c r="V21" s="6">
        <f>IF(Table1[[#This Row],[MoL]]="Yes",55,0)</f>
        <v>55</v>
      </c>
      <c r="W21" s="6">
        <f>IF(Table1[[#This Row],[Long MoL +3 Years]]="Yes",137.5,0)</f>
        <v>0</v>
      </c>
      <c r="X21" s="6">
        <f>IF(Table1[[#This Row],[Gender]]="Female",137.5,0)</f>
        <v>137.5</v>
      </c>
      <c r="Y21" s="6">
        <f>IF(Table1[[#This Row],[Education]]="Bachelors +",55,0)</f>
        <v>0</v>
      </c>
      <c r="Z21" s="6">
        <f>IF(Table1[[#This Row],[Salary]]&gt;=600,82.5,0)</f>
        <v>0</v>
      </c>
    </row>
    <row r="22" spans="1:26">
      <c r="A22" s="3">
        <f>Table1[[#This Row],[SL No.]]</f>
        <v>21</v>
      </c>
      <c r="B22" t="str">
        <f>Table1[[#This Row],[Case manager]]</f>
        <v>Zainab Mattar</v>
      </c>
      <c r="C22" t="str">
        <f>Table1[[#This Row],[Ref No]]</f>
        <v>JCP/25/262810</v>
      </c>
      <c r="D22" t="str">
        <f>Table1[[#This Row],[Name]]</f>
        <v>GHASSAN ABDULLA MAHDI MAHDI</v>
      </c>
      <c r="E22" s="4">
        <f>'Placements 26'!F22</f>
        <v>46040</v>
      </c>
      <c r="F22" s="4" t="str">
        <f t="shared" ca="1" si="0"/>
        <v>Claimable</v>
      </c>
      <c r="G22" s="4" t="s">
        <v>171</v>
      </c>
      <c r="H22" s="4"/>
      <c r="J22">
        <f>IF(Table3[[#This Row],[Placement Fee &amp; Variables]]&gt;0,0,1)</f>
        <v>1</v>
      </c>
      <c r="K22" s="4">
        <f>Table3[[#This Row],[Joining Date]]+180</f>
        <v>46220</v>
      </c>
      <c r="L22" t="str">
        <f t="shared" ca="1" si="2"/>
        <v>Claimable</v>
      </c>
      <c r="N22">
        <f ca="1">IF(Table3[[#This Row],[6M Stat]]="Claimable",1,0)</f>
        <v>1</v>
      </c>
      <c r="O22" s="4">
        <f>Table3[[#This Row],[Joining Date]]+365</f>
        <v>46405</v>
      </c>
      <c r="Q22" t="str">
        <f t="shared" ca="1" si="1"/>
        <v/>
      </c>
      <c r="R22">
        <f ca="1">IF(Table3[[#This Row],[12 M Stat]]="Claimable",1,0)</f>
        <v>0</v>
      </c>
      <c r="S22">
        <f ca="1">Table3[[#This Row],[Placement claim Highlight]]+Table3[[#This Row],[Highlight rule 6M]]+Table3[[#This Row],[Highlight rule 12 M]]</f>
        <v>2</v>
      </c>
      <c r="T22" s="6">
        <f>SUM(Table3[[#This Row],[Placement Fee]:[Salary]])</f>
        <v>330</v>
      </c>
      <c r="U22" s="6"/>
      <c r="V22" s="6">
        <f>IF(Table1[[#This Row],[MoL]]="Yes",55,0)</f>
        <v>55</v>
      </c>
      <c r="W22" s="6">
        <f>IF(Table1[[#This Row],[Long MoL +3 Years]]="Yes",137.5,0)</f>
        <v>137.5</v>
      </c>
      <c r="X22" s="6">
        <f>IF(Table1[[#This Row],[Gender]]="Female",137.5,0)</f>
        <v>0</v>
      </c>
      <c r="Y22" s="6">
        <f>IF(Table1[[#This Row],[Education]]="Bachelors +",55,0)</f>
        <v>55</v>
      </c>
      <c r="Z22" s="6">
        <f>IF(Table1[[#This Row],[Salary]]&gt;=600,82.5,0)</f>
        <v>82.5</v>
      </c>
    </row>
    <row r="23" spans="1:26">
      <c r="A23" s="3">
        <f>Table1[[#This Row],[SL No.]]</f>
        <v>22</v>
      </c>
      <c r="B23" t="str">
        <f>Table1[[#This Row],[Case manager]]</f>
        <v>Husain</v>
      </c>
      <c r="C23" t="str">
        <f>Table1[[#This Row],[Ref No]]</f>
        <v>JCP/26/283826</v>
      </c>
      <c r="D23" t="str">
        <f>Table1[[#This Row],[Name]]</f>
        <v xml:space="preserve"> Ali Husain  Seroor</v>
      </c>
      <c r="E23" s="4">
        <f>'Placements 26'!F23</f>
        <v>46050</v>
      </c>
      <c r="F23" s="4" t="str">
        <f t="shared" ca="1" si="0"/>
        <v>Claimable</v>
      </c>
      <c r="G23" s="4" t="s">
        <v>171</v>
      </c>
      <c r="H23" s="4"/>
      <c r="I23" s="4">
        <v>46055</v>
      </c>
      <c r="J23">
        <f>IF(Table3[[#This Row],[Placement Fee &amp; Variables]]&gt;0,0,1)</f>
        <v>0</v>
      </c>
      <c r="K23" s="4">
        <f>Table3[[#This Row],[Joining Date]]+180</f>
        <v>46230</v>
      </c>
      <c r="L23" t="str">
        <f t="shared" ca="1" si="2"/>
        <v>Claimable</v>
      </c>
      <c r="N23">
        <f ca="1">IF(Table3[[#This Row],[6M Stat]]="Claimable",1,0)</f>
        <v>1</v>
      </c>
      <c r="O23" s="4">
        <f>Table3[[#This Row],[Joining Date]]+365</f>
        <v>46415</v>
      </c>
      <c r="Q23" t="str">
        <f t="shared" ca="1" si="1"/>
        <v/>
      </c>
      <c r="R23">
        <f ca="1">IF(Table3[[#This Row],[12 M Stat]]="Claimable",1,0)</f>
        <v>0</v>
      </c>
      <c r="S23">
        <f ca="1">Table3[[#This Row],[Placement claim Highlight]]+Table3[[#This Row],[Highlight rule 6M]]+Table3[[#This Row],[Highlight rule 12 M]]</f>
        <v>1</v>
      </c>
      <c r="T23" s="6">
        <f>SUM(Table3[[#This Row],[Placement Fee]:[Salary]])</f>
        <v>192.5</v>
      </c>
      <c r="U23" s="6"/>
      <c r="V23" s="6">
        <f>IF(Table1[[#This Row],[MoL]]="Yes",55,0)</f>
        <v>55</v>
      </c>
      <c r="W23" s="6">
        <f>IF(Table1[[#This Row],[Long MoL +3 Years]]="Yes",137.5,0)</f>
        <v>137.5</v>
      </c>
      <c r="X23" s="6">
        <f>IF(Table1[[#This Row],[Gender]]="Female",137.5,0)</f>
        <v>0</v>
      </c>
      <c r="Y23" s="6">
        <f>IF(Table1[[#This Row],[Education]]="Bachelors +",55,0)</f>
        <v>0</v>
      </c>
      <c r="Z23" s="6">
        <f>IF(Table1[[#This Row],[Salary]]&gt;=600,82.5,0)</f>
        <v>0</v>
      </c>
    </row>
    <row r="24" spans="1:26">
      <c r="A24" s="3">
        <f>Table1[[#This Row],[SL No.]]</f>
        <v>23</v>
      </c>
      <c r="B24" t="str">
        <f>Table1[[#This Row],[Case manager]]</f>
        <v>Husain</v>
      </c>
      <c r="C24" t="str">
        <f>Table1[[#This Row],[Ref No]]</f>
        <v>JCP/25/171059</v>
      </c>
      <c r="D24" t="str">
        <f>Table1[[#This Row],[Name]]</f>
        <v>ZAINAB  NASER MOHAMED MAHMOOD ALALWAANI</v>
      </c>
      <c r="E24" s="4">
        <f>'Placements 26'!F24</f>
        <v>46055</v>
      </c>
      <c r="F24" s="4" t="str">
        <f t="shared" ca="1" si="0"/>
        <v>Claimed</v>
      </c>
      <c r="G24" s="4" t="s">
        <v>171</v>
      </c>
      <c r="H24" s="39" t="s">
        <v>1155</v>
      </c>
      <c r="I24" s="4">
        <v>45700</v>
      </c>
      <c r="J24">
        <f>IF(Table3[[#This Row],[Placement Fee &amp; Variables]]&gt;0,0,1)</f>
        <v>0</v>
      </c>
      <c r="K24" s="4">
        <f>Table3[[#This Row],[Joining Date]]+180</f>
        <v>46235</v>
      </c>
      <c r="L24" t="str">
        <f t="shared" ca="1" si="2"/>
        <v/>
      </c>
      <c r="M24" s="4">
        <v>45873</v>
      </c>
      <c r="N24">
        <f ca="1">IF(Table3[[#This Row],[6M Stat]]="Claimable",1,0)</f>
        <v>0</v>
      </c>
      <c r="O24" s="4">
        <f>Table3[[#This Row],[Joining Date]]+365</f>
        <v>46420</v>
      </c>
      <c r="P24" s="4">
        <v>46055</v>
      </c>
      <c r="Q24" t="str">
        <f t="shared" ca="1" si="1"/>
        <v/>
      </c>
      <c r="R24">
        <f ca="1">IF(Table3[[#This Row],[12 M Stat]]="Claimable",1,0)</f>
        <v>0</v>
      </c>
      <c r="S24">
        <f ca="1">Table3[[#This Row],[Placement claim Highlight]]+Table3[[#This Row],[Highlight rule 6M]]+Table3[[#This Row],[Highlight rule 12 M]]</f>
        <v>0</v>
      </c>
      <c r="T24" s="6">
        <f>SUM(Table3[[#This Row],[Placement Fee]:[Salary]])</f>
        <v>137.5</v>
      </c>
      <c r="U24" s="6"/>
      <c r="V24" s="6">
        <f>IF(Table1[[#This Row],[MoL]]="Yes",55,0)</f>
        <v>0</v>
      </c>
      <c r="W24" s="6">
        <f>IF(Table1[[#This Row],[Long MoL +3 Years]]="Yes",137.5,0)</f>
        <v>0</v>
      </c>
      <c r="X24" s="6">
        <f>IF(Table1[[#This Row],[Gender]]="Female",137.5,0)</f>
        <v>137.5</v>
      </c>
      <c r="Y24" s="6">
        <f>IF(Table1[[#This Row],[Education]]="Bachelors +",55,0)</f>
        <v>0</v>
      </c>
      <c r="Z24" s="6">
        <f>IF(Table1[[#This Row],[Salary]]&gt;=600,82.5,0)</f>
        <v>0</v>
      </c>
    </row>
    <row r="25" spans="1:26">
      <c r="A25" s="3">
        <f>Table1[[#This Row],[SL No.]]</f>
        <v>24</v>
      </c>
      <c r="B25" t="str">
        <f>Table1[[#This Row],[Case manager]]</f>
        <v>Husain</v>
      </c>
      <c r="C25" t="str">
        <f>Table1[[#This Row],[Ref No]]</f>
        <v>JCP/25/171458</v>
      </c>
      <c r="D25" t="str">
        <f>Table1[[#This Row],[Name]]</f>
        <v>HUSAIN MUSTAFA ALI ALMAJED</v>
      </c>
      <c r="E25" s="4">
        <f>'Placements 26'!F25</f>
        <v>46055</v>
      </c>
      <c r="F25" s="4" t="str">
        <f t="shared" ca="1" si="0"/>
        <v>Claimed</v>
      </c>
      <c r="G25" s="4" t="s">
        <v>171</v>
      </c>
      <c r="H25" s="39" t="s">
        <v>1155</v>
      </c>
      <c r="I25" s="4">
        <v>45700</v>
      </c>
      <c r="J25">
        <f>IF(Table3[[#This Row],[Placement Fee &amp; Variables]]&gt;0,0,1)</f>
        <v>0</v>
      </c>
      <c r="K25" s="4">
        <f>Table3[[#This Row],[Joining Date]]+180</f>
        <v>46235</v>
      </c>
      <c r="L25" t="str">
        <f t="shared" ca="1" si="2"/>
        <v/>
      </c>
      <c r="M25" s="4">
        <v>45873</v>
      </c>
      <c r="N25">
        <f ca="1">IF(Table3[[#This Row],[6M Stat]]="Claimable",1,0)</f>
        <v>0</v>
      </c>
      <c r="O25" s="4">
        <f>Table3[[#This Row],[Joining Date]]+365</f>
        <v>46420</v>
      </c>
      <c r="P25" s="4">
        <v>46055</v>
      </c>
      <c r="Q25" t="str">
        <f t="shared" ca="1" si="1"/>
        <v/>
      </c>
      <c r="R25">
        <f ca="1">IF(Table3[[#This Row],[12 M Stat]]="Claimable",1,0)</f>
        <v>0</v>
      </c>
      <c r="S25">
        <f ca="1">Table3[[#This Row],[Placement claim Highlight]]+Table3[[#This Row],[Highlight rule 6M]]+Table3[[#This Row],[Highlight rule 12 M]]</f>
        <v>0</v>
      </c>
      <c r="T25" s="6">
        <f>SUM(Table3[[#This Row],[Placement Fee]:[Salary]])</f>
        <v>55</v>
      </c>
      <c r="U25" s="6"/>
      <c r="V25" s="6">
        <f>IF(Table1[[#This Row],[MoL]]="Yes",55,0)</f>
        <v>55</v>
      </c>
      <c r="W25" s="6">
        <f>IF(Table1[[#This Row],[Long MoL +3 Years]]="Yes",137.5,0)</f>
        <v>0</v>
      </c>
      <c r="X25" s="6">
        <f>IF(Table1[[#This Row],[Gender]]="Female",137.5,0)</f>
        <v>0</v>
      </c>
      <c r="Y25" s="6">
        <f>IF(Table1[[#This Row],[Education]]="Bachelors +",55,0)</f>
        <v>0</v>
      </c>
      <c r="Z25" s="6">
        <f>IF(Table1[[#This Row],[Salary]]&gt;=600,82.5,0)</f>
        <v>0</v>
      </c>
    </row>
    <row r="26" spans="1:26">
      <c r="A26" s="3">
        <f>Table1[[#This Row],[SL No.]]</f>
        <v>25</v>
      </c>
      <c r="B26" t="str">
        <f>Table1[[#This Row],[Case manager]]</f>
        <v>Meaad</v>
      </c>
      <c r="C26" t="str">
        <f>Table1[[#This Row],[Ref No]]</f>
        <v>JCP/25/223860</v>
      </c>
      <c r="D26" t="str">
        <f>Table1[[#This Row],[Name]]</f>
        <v>duaa ahmedhisham t bintin</v>
      </c>
      <c r="E26" s="4">
        <f>'Placements 26'!F26</f>
        <v>46050</v>
      </c>
      <c r="F26" s="4" t="str">
        <f t="shared" ca="1" si="0"/>
        <v>Claimable</v>
      </c>
      <c r="G26" s="4" t="s">
        <v>38</v>
      </c>
      <c r="H26" s="4" t="s">
        <v>1156</v>
      </c>
      <c r="J26">
        <f>IF(Table3[[#This Row],[Placement Fee &amp; Variables]]&gt;0,0,1)</f>
        <v>1</v>
      </c>
      <c r="K26" s="4">
        <f>Table3[[#This Row],[Joining Date]]+180</f>
        <v>46230</v>
      </c>
      <c r="L26" t="str">
        <f t="shared" ca="1" si="2"/>
        <v>Claimable</v>
      </c>
      <c r="N26">
        <f ca="1">IF(Table3[[#This Row],[6M Stat]]="Claimable",1,0)</f>
        <v>1</v>
      </c>
      <c r="O26" s="4">
        <f>Table3[[#This Row],[Joining Date]]+365</f>
        <v>46415</v>
      </c>
      <c r="Q26" t="str">
        <f t="shared" ca="1" si="1"/>
        <v/>
      </c>
      <c r="R26">
        <f ca="1">IF(Table3[[#This Row],[12 M Stat]]="Claimable",1,0)</f>
        <v>0</v>
      </c>
      <c r="S26">
        <f ca="1">Table3[[#This Row],[Placement claim Highlight]]+Table3[[#This Row],[Highlight rule 6M]]+Table3[[#This Row],[Highlight rule 12 M]]</f>
        <v>2</v>
      </c>
      <c r="T26" s="6">
        <f>SUM(Table3[[#This Row],[Placement Fee]:[Salary]])</f>
        <v>192.5</v>
      </c>
      <c r="U26" s="6"/>
      <c r="V26" s="6">
        <f>IF(Table1[[#This Row],[MoL]]="Yes",55,0)</f>
        <v>0</v>
      </c>
      <c r="W26" s="6">
        <f>IF(Table1[[#This Row],[Long MoL +3 Years]]="Yes",137.5,0)</f>
        <v>0</v>
      </c>
      <c r="X26" s="6">
        <f>IF(Table1[[#This Row],[Gender]]="Female",137.5,0)</f>
        <v>137.5</v>
      </c>
      <c r="Y26" s="6">
        <f>IF(Table1[[#This Row],[Education]]="Bachelors +",55,0)</f>
        <v>55</v>
      </c>
      <c r="Z26" s="6">
        <f>IF(Table1[[#This Row],[Salary]]&gt;=600,82.5,0)</f>
        <v>0</v>
      </c>
    </row>
    <row r="27" spans="1:26">
      <c r="A27" s="3">
        <f>Table1[[#This Row],[SL No.]]</f>
        <v>26</v>
      </c>
      <c r="B27" t="str">
        <f>Table1[[#This Row],[Case manager]]</f>
        <v>Meaad</v>
      </c>
      <c r="C27" t="str">
        <f>Table1[[#This Row],[Ref No]]</f>
        <v>JCP/25/258736</v>
      </c>
      <c r="D27" t="str">
        <f>Table1[[#This Row],[Name]]</f>
        <v>Hasan Abdulnabi Tarada</v>
      </c>
      <c r="E27" s="4">
        <f>'Placements 26'!F27</f>
        <v>46047</v>
      </c>
      <c r="F27" s="4" t="str">
        <f t="shared" ca="1" si="0"/>
        <v>Claimable</v>
      </c>
      <c r="G27" s="4" t="s">
        <v>38</v>
      </c>
      <c r="H27" s="4" t="s">
        <v>1157</v>
      </c>
      <c r="I27" s="4" t="s">
        <v>1157</v>
      </c>
      <c r="J27">
        <f>IF(Table3[[#This Row],[Placement Fee &amp; Variables]]&gt;0,0,1)</f>
        <v>0</v>
      </c>
      <c r="K27" s="4">
        <f>Table3[[#This Row],[Joining Date]]+180</f>
        <v>46227</v>
      </c>
      <c r="L27" t="str">
        <f t="shared" ca="1" si="2"/>
        <v>Claimable</v>
      </c>
      <c r="N27">
        <f ca="1">IF(Table3[[#This Row],[6M Stat]]="Claimable",1,0)</f>
        <v>1</v>
      </c>
      <c r="O27" s="4">
        <f>Table3[[#This Row],[Joining Date]]+365</f>
        <v>46412</v>
      </c>
      <c r="P27" s="4" t="s">
        <v>1157</v>
      </c>
      <c r="Q27" t="str">
        <f t="shared" ca="1" si="1"/>
        <v/>
      </c>
      <c r="R27">
        <f ca="1">IF(Table3[[#This Row],[12 M Stat]]="Claimable",1,0)</f>
        <v>0</v>
      </c>
      <c r="S27">
        <f ca="1">Table3[[#This Row],[Placement claim Highlight]]+Table3[[#This Row],[Highlight rule 6M]]+Table3[[#This Row],[Highlight rule 12 M]]</f>
        <v>1</v>
      </c>
      <c r="T27" s="6">
        <f>SUM(Table3[[#This Row],[Placement Fee]:[Salary]])</f>
        <v>82.5</v>
      </c>
      <c r="U27" s="6"/>
      <c r="V27" s="6">
        <f>IF(Table1[[#This Row],[MoL]]="Yes",55,0)</f>
        <v>0</v>
      </c>
      <c r="W27" s="6">
        <f>IF(Table1[[#This Row],[Long MoL +3 Years]]="Yes",137.5,0)</f>
        <v>0</v>
      </c>
      <c r="X27" s="6">
        <f>IF(Table1[[#This Row],[Gender]]="Female",137.5,0)</f>
        <v>0</v>
      </c>
      <c r="Y27" s="6">
        <f>IF(Table1[[#This Row],[Education]]="Bachelors +",55,0)</f>
        <v>0</v>
      </c>
      <c r="Z27" s="6">
        <f>IF(Table1[[#This Row],[Salary]]&gt;=600,82.5,0)</f>
        <v>82.5</v>
      </c>
    </row>
    <row r="28" spans="1:26">
      <c r="A28" s="3">
        <f>Table1[[#This Row],[SL No.]]</f>
        <v>27</v>
      </c>
      <c r="B28" t="str">
        <f>Table1[[#This Row],[Case manager]]</f>
        <v>Zainab Mattar</v>
      </c>
      <c r="C28" t="str">
        <f>Table1[[#This Row],[Ref No]]</f>
        <v>JCP/24/120499</v>
      </c>
      <c r="D28" t="str">
        <f>Table1[[#This Row],[Name]]</f>
        <v>MUSTAFA ABDULHAMEED QA  HUSAIN</v>
      </c>
      <c r="E28" s="4">
        <f>'Placements 26'!F28</f>
        <v>46033</v>
      </c>
      <c r="F28" s="4" t="str">
        <f t="shared" ca="1" si="0"/>
        <v>Claimable</v>
      </c>
      <c r="G28" s="4" t="s">
        <v>171</v>
      </c>
      <c r="H28" s="4"/>
      <c r="J28">
        <f>IF(Table3[[#This Row],[Placement Fee &amp; Variables]]&gt;0,0,1)</f>
        <v>1</v>
      </c>
      <c r="K28" s="4">
        <f>Table3[[#This Row],[Joining Date]]+180</f>
        <v>46213</v>
      </c>
      <c r="L28" t="str">
        <f t="shared" ca="1" si="2"/>
        <v>Claimable</v>
      </c>
      <c r="N28">
        <f ca="1">IF(Table3[[#This Row],[6M Stat]]="Claimable",1,0)</f>
        <v>1</v>
      </c>
      <c r="O28" s="4">
        <f>Table3[[#This Row],[Joining Date]]+365</f>
        <v>46398</v>
      </c>
      <c r="Q28" t="str">
        <f t="shared" ca="1" si="1"/>
        <v/>
      </c>
      <c r="R28">
        <f ca="1">IF(Table3[[#This Row],[12 M Stat]]="Claimable",1,0)</f>
        <v>0</v>
      </c>
      <c r="S28">
        <f ca="1">Table3[[#This Row],[Placement claim Highlight]]+Table3[[#This Row],[Highlight rule 6M]]+Table3[[#This Row],[Highlight rule 12 M]]</f>
        <v>2</v>
      </c>
      <c r="T28" s="6">
        <f>SUM(Table3[[#This Row],[Placement Fee]:[Salary]])</f>
        <v>110</v>
      </c>
      <c r="U28" s="6"/>
      <c r="V28" s="6">
        <f>IF(Table1[[#This Row],[MoL]]="Yes",55,0)</f>
        <v>55</v>
      </c>
      <c r="W28" s="6">
        <f>IF(Table1[[#This Row],[Long MoL +3 Years]]="Yes",137.5,0)</f>
        <v>0</v>
      </c>
      <c r="X28" s="6">
        <f>IF(Table1[[#This Row],[Gender]]="Female",137.5,0)</f>
        <v>0</v>
      </c>
      <c r="Y28" s="6">
        <f>IF(Table1[[#This Row],[Education]]="Bachelors +",55,0)</f>
        <v>55</v>
      </c>
      <c r="Z28" s="6">
        <f>IF(Table1[[#This Row],[Salary]]&gt;=600,82.5,0)</f>
        <v>0</v>
      </c>
    </row>
    <row r="29" spans="1:26">
      <c r="A29" s="3">
        <f>Table1[[#This Row],[SL No.]]</f>
        <v>28</v>
      </c>
      <c r="B29" t="str">
        <f>Table1[[#This Row],[Case manager]]</f>
        <v>Zainab Almaroom</v>
      </c>
      <c r="C29" t="str">
        <f>Table1[[#This Row],[Ref No]]</f>
        <v>JCP/25/262077</v>
      </c>
      <c r="D29" t="str">
        <f>Table1[[#This Row],[Name]]</f>
        <v>MAHMOOD JAAFAR ABDULLA JASIM MOHAMED</v>
      </c>
      <c r="E29" s="4">
        <f>'Placements 26'!F29</f>
        <v>46028</v>
      </c>
      <c r="F29" s="4" t="str">
        <f t="shared" ca="1" si="0"/>
        <v>Claimed</v>
      </c>
      <c r="G29" s="4" t="s">
        <v>171</v>
      </c>
      <c r="H29" s="4"/>
      <c r="I29" s="4">
        <v>46056</v>
      </c>
      <c r="J29">
        <f>IF(Table3[[#This Row],[Placement Fee &amp; Variables]]&gt;0,0,1)</f>
        <v>0</v>
      </c>
      <c r="K29" s="4">
        <f>Table3[[#This Row],[Joining Date]]+180</f>
        <v>46208</v>
      </c>
      <c r="L29" t="str">
        <f t="shared" ca="1" si="2"/>
        <v/>
      </c>
      <c r="M29" s="4">
        <v>46245</v>
      </c>
      <c r="N29">
        <f ca="1">IF(Table3[[#This Row],[6M Stat]]="Claimable",1,0)</f>
        <v>0</v>
      </c>
      <c r="O29" s="4">
        <f>Table3[[#This Row],[Joining Date]]+365</f>
        <v>46393</v>
      </c>
      <c r="Q29" t="str">
        <f t="shared" ca="1" si="1"/>
        <v/>
      </c>
      <c r="R29">
        <f ca="1">IF(Table3[[#This Row],[12 M Stat]]="Claimable",1,0)</f>
        <v>0</v>
      </c>
      <c r="S29">
        <f ca="1">Table3[[#This Row],[Placement claim Highlight]]+Table3[[#This Row],[Highlight rule 6M]]+Table3[[#This Row],[Highlight rule 12 M]]</f>
        <v>0</v>
      </c>
      <c r="T29" s="6">
        <f>SUM(Table3[[#This Row],[Placement Fee]:[Salary]])</f>
        <v>55</v>
      </c>
      <c r="U29" s="6"/>
      <c r="V29" s="6">
        <f>IF(Table1[[#This Row],[MoL]]="Yes",55,0)</f>
        <v>0</v>
      </c>
      <c r="W29" s="6">
        <f>IF(Table1[[#This Row],[Long MoL +3 Years]]="Yes",137.5,0)</f>
        <v>0</v>
      </c>
      <c r="X29" s="6">
        <f>IF(Table1[[#This Row],[Gender]]="Female",137.5,0)</f>
        <v>0</v>
      </c>
      <c r="Y29" s="6">
        <f>IF(Table1[[#This Row],[Education]]="Bachelors +",55,0)</f>
        <v>55</v>
      </c>
      <c r="Z29" s="6">
        <f>IF(Table1[[#This Row],[Salary]]&gt;=600,82.5,0)</f>
        <v>0</v>
      </c>
    </row>
    <row r="30" spans="1:26">
      <c r="A30" s="3">
        <f>Table1[[#This Row],[SL No.]]</f>
        <v>29</v>
      </c>
      <c r="B30" t="str">
        <f>Table1[[#This Row],[Case manager]]</f>
        <v>Husain</v>
      </c>
      <c r="C30" t="str">
        <f>Table1[[#This Row],[Ref No]]</f>
        <v>JCP/25/170479</v>
      </c>
      <c r="D30" t="str">
        <f>Table1[[#This Row],[Name]]</f>
        <v>Ali hasan Alaswami</v>
      </c>
      <c r="E30" s="4">
        <f>'Placements 26'!F30</f>
        <v>45692</v>
      </c>
      <c r="F30" s="4" t="str">
        <f t="shared" ca="1" si="0"/>
        <v>Claimed</v>
      </c>
      <c r="G30" s="4" t="s">
        <v>171</v>
      </c>
      <c r="H30" s="39" t="s">
        <v>1155</v>
      </c>
      <c r="I30" s="4">
        <v>45697</v>
      </c>
      <c r="J30">
        <f>IF(Table3[[#This Row],[Placement Fee &amp; Variables]]&gt;0,0,1)</f>
        <v>0</v>
      </c>
      <c r="K30" s="4">
        <f>Table3[[#This Row],[Joining Date]]+180</f>
        <v>45872</v>
      </c>
      <c r="L30" t="str">
        <f t="shared" ca="1" si="2"/>
        <v/>
      </c>
      <c r="M30" s="4">
        <v>45873</v>
      </c>
      <c r="N30">
        <f ca="1">IF(Table3[[#This Row],[6M Stat]]="Claimable",1,0)</f>
        <v>0</v>
      </c>
      <c r="O30" s="4">
        <f>Table3[[#This Row],[Joining Date]]+365</f>
        <v>46057</v>
      </c>
      <c r="P30" s="4">
        <v>46057</v>
      </c>
      <c r="Q30" t="str">
        <f t="shared" ca="1" si="1"/>
        <v/>
      </c>
      <c r="R30">
        <f ca="1">IF(Table3[[#This Row],[12 M Stat]]="Claimable",1,0)</f>
        <v>0</v>
      </c>
      <c r="S30">
        <f ca="1">Table3[[#This Row],[Placement claim Highlight]]+Table3[[#This Row],[Highlight rule 6M]]+Table3[[#This Row],[Highlight rule 12 M]]</f>
        <v>0</v>
      </c>
      <c r="T30" s="6">
        <f>SUM(Table3[[#This Row],[Placement Fee]:[Salary]])</f>
        <v>192.5</v>
      </c>
      <c r="U30" s="6"/>
      <c r="V30" s="6">
        <f>IF(Table1[[#This Row],[MoL]]="Yes",55,0)</f>
        <v>55</v>
      </c>
      <c r="W30" s="6">
        <f>IF(Table1[[#This Row],[Long MoL +3 Years]]="Yes",137.5,0)</f>
        <v>137.5</v>
      </c>
      <c r="X30" s="6">
        <f>IF(Table1[[#This Row],[Gender]]="Female",137.5,0)</f>
        <v>0</v>
      </c>
      <c r="Y30" s="6">
        <f>IF(Table1[[#This Row],[Education]]="Bachelors +",55,0)</f>
        <v>0</v>
      </c>
      <c r="Z30" s="6">
        <f>IF(Table1[[#This Row],[Salary]]&gt;=600,82.5,0)</f>
        <v>0</v>
      </c>
    </row>
    <row r="31" spans="1:26">
      <c r="A31" s="3">
        <f>Table1[[#This Row],[SL No.]]</f>
        <v>30</v>
      </c>
      <c r="B31" t="str">
        <f>Table1[[#This Row],[Case manager]]</f>
        <v>Husain</v>
      </c>
      <c r="C31" t="str">
        <f>Table1[[#This Row],[Ref No]]</f>
        <v>JCP/25/213845</v>
      </c>
      <c r="D31" t="str">
        <f>Table1[[#This Row],[Name]]</f>
        <v>Sara Jamal Ahmed</v>
      </c>
      <c r="E31" s="4">
        <f>'Placements 26'!F31</f>
        <v>45874</v>
      </c>
      <c r="F31" s="4" t="str">
        <f t="shared" ca="1" si="0"/>
        <v>Claimable</v>
      </c>
      <c r="G31" s="4" t="s">
        <v>171</v>
      </c>
      <c r="H31" s="39" t="s">
        <v>1153</v>
      </c>
      <c r="I31" s="4">
        <v>45874</v>
      </c>
      <c r="J31">
        <f>IF(Table3[[#This Row],[Placement Fee &amp; Variables]]&gt;0,0,1)</f>
        <v>0</v>
      </c>
      <c r="K31" s="4">
        <f>Table3[[#This Row],[Joining Date]]+180</f>
        <v>46054</v>
      </c>
      <c r="L31" t="str">
        <f t="shared" ca="1" si="2"/>
        <v/>
      </c>
      <c r="M31" s="4">
        <v>46058</v>
      </c>
      <c r="N31">
        <f ca="1">IF(Table3[[#This Row],[6M Stat]]="Claimable",1,0)</f>
        <v>0</v>
      </c>
      <c r="O31" s="4">
        <f>Table3[[#This Row],[Joining Date]]+365</f>
        <v>46239</v>
      </c>
      <c r="P31" s="4"/>
      <c r="Q31" t="str">
        <f t="shared" ca="1" si="1"/>
        <v>Claimable</v>
      </c>
      <c r="R31">
        <f ca="1">IF(Table3[[#This Row],[12 M Stat]]="Claimable",1,0)</f>
        <v>1</v>
      </c>
      <c r="S31">
        <f ca="1">Table3[[#This Row],[Placement claim Highlight]]+Table3[[#This Row],[Highlight rule 6M]]+Table3[[#This Row],[Highlight rule 12 M]]</f>
        <v>1</v>
      </c>
      <c r="T31" s="6">
        <f>SUM(Table3[[#This Row],[Placement Fee]:[Salary]])</f>
        <v>192.5</v>
      </c>
      <c r="U31" s="6"/>
      <c r="V31" s="6">
        <f>IF(Table1[[#This Row],[MoL]]="Yes",55,0)</f>
        <v>0</v>
      </c>
      <c r="W31" s="6">
        <f>IF(Table1[[#This Row],[Long MoL +3 Years]]="Yes",137.5,0)</f>
        <v>0</v>
      </c>
      <c r="X31" s="6">
        <f>IF(Table1[[#This Row],[Gender]]="Female",137.5,0)</f>
        <v>137.5</v>
      </c>
      <c r="Y31" s="6">
        <f>IF(Table1[[#This Row],[Education]]="Bachelors +",55,0)</f>
        <v>55</v>
      </c>
      <c r="Z31" s="6">
        <f>IF(Table1[[#This Row],[Salary]]&gt;=600,82.5,0)</f>
        <v>0</v>
      </c>
    </row>
    <row r="32" spans="1:26">
      <c r="A32" s="3">
        <f>Table1[[#This Row],[SL No.]]</f>
        <v>31</v>
      </c>
      <c r="B32" t="str">
        <f>Table1[[#This Row],[Case manager]]</f>
        <v>Husain</v>
      </c>
      <c r="C32" t="str">
        <f>Table1[[#This Row],[Ref No]]</f>
        <v xml:space="preserve"> JCP/26/283681</v>
      </c>
      <c r="D32" t="str">
        <f>Table1[[#This Row],[Name]]</f>
        <v xml:space="preserve"> Shooq Muneer Maaroof</v>
      </c>
      <c r="E32" s="4">
        <f>'Placements 26'!F32</f>
        <v>46057</v>
      </c>
      <c r="F32" s="4" t="str">
        <f t="shared" ca="1" si="0"/>
        <v>Claimable</v>
      </c>
      <c r="G32" s="4" t="s">
        <v>171</v>
      </c>
      <c r="H32" s="4"/>
      <c r="I32" s="4">
        <v>46061</v>
      </c>
      <c r="J32">
        <f>IF(Table3[[#This Row],[Placement Fee &amp; Variables]]&gt;0,0,1)</f>
        <v>0</v>
      </c>
      <c r="K32" s="4">
        <f>Table3[[#This Row],[Joining Date]]+180</f>
        <v>46237</v>
      </c>
      <c r="L32" t="str">
        <f t="shared" ca="1" si="2"/>
        <v>Claimable</v>
      </c>
      <c r="N32">
        <f ca="1">IF(Table3[[#This Row],[6M Stat]]="Claimable",1,0)</f>
        <v>1</v>
      </c>
      <c r="O32" s="4">
        <f>Table3[[#This Row],[Joining Date]]+365</f>
        <v>46422</v>
      </c>
      <c r="Q32" t="str">
        <f t="shared" ca="1" si="1"/>
        <v/>
      </c>
      <c r="R32">
        <f ca="1">IF(Table3[[#This Row],[12 M Stat]]="Claimable",1,0)</f>
        <v>0</v>
      </c>
      <c r="S32">
        <f ca="1">Table3[[#This Row],[Placement claim Highlight]]+Table3[[#This Row],[Highlight rule 6M]]+Table3[[#This Row],[Highlight rule 12 M]]</f>
        <v>1</v>
      </c>
      <c r="T32" s="6">
        <f>SUM(Table3[[#This Row],[Placement Fee]:[Salary]])</f>
        <v>385</v>
      </c>
      <c r="U32" s="6"/>
      <c r="V32" s="6">
        <f>IF(Table1[[#This Row],[MoL]]="Yes",55,0)</f>
        <v>55</v>
      </c>
      <c r="W32" s="6">
        <f>IF(Table1[[#This Row],[Long MoL +3 Years]]="Yes",137.5,0)</f>
        <v>137.5</v>
      </c>
      <c r="X32" s="6">
        <f>IF(Table1[[#This Row],[Gender]]="Female",137.5,0)</f>
        <v>137.5</v>
      </c>
      <c r="Y32" s="6">
        <f>IF(Table1[[#This Row],[Education]]="Bachelors +",55,0)</f>
        <v>55</v>
      </c>
      <c r="Z32" s="6">
        <f>IF(Table1[[#This Row],[Salary]]&gt;=600,82.5,0)</f>
        <v>0</v>
      </c>
    </row>
    <row r="33" spans="1:26">
      <c r="A33" s="3">
        <f>Table1[[#This Row],[SL No.]]</f>
        <v>32</v>
      </c>
      <c r="B33" t="str">
        <f>Table1[[#This Row],[Case manager]]</f>
        <v>Husain</v>
      </c>
      <c r="C33" t="str">
        <f>Table1[[#This Row],[Ref No]]</f>
        <v>JCP/25/170060</v>
      </c>
      <c r="D33" t="str">
        <f>Table1[[#This Row],[Name]]</f>
        <v xml:space="preserve"> SALMAN ADEL OUN JASIM</v>
      </c>
      <c r="E33" s="4">
        <f>'Placements 26'!F33</f>
        <v>45697</v>
      </c>
      <c r="F33" s="4" t="str">
        <f t="shared" ca="1" si="0"/>
        <v>Claimed</v>
      </c>
      <c r="G33" s="4" t="s">
        <v>171</v>
      </c>
      <c r="H33" s="4" t="s">
        <v>1155</v>
      </c>
      <c r="I33" s="4">
        <v>45697</v>
      </c>
      <c r="J33">
        <f>IF(Table3[[#This Row],[Placement Fee &amp; Variables]]&gt;0,0,1)</f>
        <v>0</v>
      </c>
      <c r="K33" s="4">
        <f>Table3[[#This Row],[Joining Date]]+180</f>
        <v>45877</v>
      </c>
      <c r="L33" t="str">
        <f t="shared" ca="1" si="2"/>
        <v/>
      </c>
      <c r="M33" s="4">
        <v>45879</v>
      </c>
      <c r="N33">
        <f ca="1">IF(Table3[[#This Row],[6M Stat]]="Claimable",1,0)</f>
        <v>0</v>
      </c>
      <c r="O33" s="4">
        <f>Table3[[#This Row],[Joining Date]]+365</f>
        <v>46062</v>
      </c>
      <c r="P33" s="4">
        <v>46062</v>
      </c>
      <c r="Q33" t="str">
        <f t="shared" ca="1" si="1"/>
        <v/>
      </c>
      <c r="R33">
        <f ca="1">IF(Table3[[#This Row],[12 M Stat]]="Claimable",1,0)</f>
        <v>0</v>
      </c>
      <c r="S33">
        <f ca="1">Table3[[#This Row],[Placement claim Highlight]]+Table3[[#This Row],[Highlight rule 6M]]+Table3[[#This Row],[Highlight rule 12 M]]</f>
        <v>0</v>
      </c>
      <c r="T33" s="6">
        <f>SUM(Table3[[#This Row],[Placement Fee]:[Salary]])</f>
        <v>55</v>
      </c>
      <c r="U33" s="6"/>
      <c r="V33" s="6">
        <f>IF(Table1[[#This Row],[MoL]]="Yes",55,0)</f>
        <v>55</v>
      </c>
      <c r="W33" s="6">
        <f>IF(Table1[[#This Row],[Long MoL +3 Years]]="Yes",137.5,0)</f>
        <v>0</v>
      </c>
      <c r="X33" s="6">
        <f>IF(Table1[[#This Row],[Gender]]="Female",137.5,0)</f>
        <v>0</v>
      </c>
      <c r="Y33" s="6">
        <f>IF(Table1[[#This Row],[Education]]="Bachelors +",55,0)</f>
        <v>0</v>
      </c>
      <c r="Z33" s="6">
        <f>IF(Table1[[#This Row],[Salary]]&gt;=600,82.5,0)</f>
        <v>0</v>
      </c>
    </row>
    <row r="34" spans="1:26">
      <c r="A34" s="3">
        <f>Table1[[#This Row],[SL No.]]</f>
        <v>33</v>
      </c>
      <c r="B34" t="str">
        <f>Table1[[#This Row],[Case manager]]</f>
        <v>Khalifa</v>
      </c>
      <c r="C34" t="str">
        <f>Table1[[#This Row],[Ref No]]</f>
        <v>JCP/26/271188</v>
      </c>
      <c r="D34" t="str">
        <f>Table1[[#This Row],[Name]]</f>
        <v>AMINA AYMAN S. NAJEM</v>
      </c>
      <c r="E34" s="4">
        <f>'Placements 26'!F34</f>
        <v>46041</v>
      </c>
      <c r="F34" s="4" t="str">
        <f t="shared" ca="1" si="0"/>
        <v>Claimable</v>
      </c>
      <c r="G34" s="4" t="s">
        <v>171</v>
      </c>
      <c r="H34" s="4"/>
      <c r="I34" s="4">
        <v>46063</v>
      </c>
      <c r="J34">
        <f>IF(Table3[[#This Row],[Placement Fee &amp; Variables]]&gt;0,0,1)</f>
        <v>0</v>
      </c>
      <c r="K34" s="4">
        <f>Table3[[#This Row],[Joining Date]]+180</f>
        <v>46221</v>
      </c>
      <c r="L34" t="str">
        <f t="shared" ca="1" si="2"/>
        <v>Claimable</v>
      </c>
      <c r="N34">
        <f ca="1">IF(Table3[[#This Row],[6M Stat]]="Claimable",1,0)</f>
        <v>1</v>
      </c>
      <c r="O34" s="4">
        <f>Table3[[#This Row],[Joining Date]]+365</f>
        <v>46406</v>
      </c>
      <c r="Q34" t="str">
        <f t="shared" ca="1" si="1"/>
        <v/>
      </c>
      <c r="R34">
        <f ca="1">IF(Table3[[#This Row],[12 M Stat]]="Claimable",1,0)</f>
        <v>0</v>
      </c>
      <c r="S34">
        <f ca="1">Table3[[#This Row],[Placement claim Highlight]]+Table3[[#This Row],[Highlight rule 6M]]+Table3[[#This Row],[Highlight rule 12 M]]</f>
        <v>1</v>
      </c>
      <c r="T34" s="6">
        <f>SUM(Table3[[#This Row],[Placement Fee]:[Salary]])</f>
        <v>330</v>
      </c>
      <c r="U34" s="6"/>
      <c r="V34" s="6">
        <f>IF(Table1[[#This Row],[MoL]]="Yes",55,0)</f>
        <v>55</v>
      </c>
      <c r="W34" s="6">
        <f>IF(Table1[[#This Row],[Long MoL +3 Years]]="Yes",137.5,0)</f>
        <v>0</v>
      </c>
      <c r="X34" s="6">
        <f>IF(Table1[[#This Row],[Gender]]="Female",137.5,0)</f>
        <v>137.5</v>
      </c>
      <c r="Y34" s="6">
        <f>IF(Table1[[#This Row],[Education]]="Bachelors +",55,0)</f>
        <v>55</v>
      </c>
      <c r="Z34" s="6">
        <f>IF(Table1[[#This Row],[Salary]]&gt;=600,82.5,0)</f>
        <v>82.5</v>
      </c>
    </row>
    <row r="35" spans="1:26">
      <c r="A35" s="3">
        <f>Table1[[#This Row],[SL No.]]</f>
        <v>34</v>
      </c>
      <c r="B35" t="str">
        <f>Table1[[#This Row],[Case manager]]</f>
        <v>Zainab Almaroom</v>
      </c>
      <c r="C35" t="str">
        <f>Table1[[#This Row],[Ref No]]</f>
        <v>JCP/25/229821</v>
      </c>
      <c r="D35" t="str">
        <f>Table1[[#This Row],[Name]]</f>
        <v>BAYAN ADEL J. ALARAYEDH</v>
      </c>
      <c r="E35" s="4">
        <f>'Placements 26'!F35</f>
        <v>46041</v>
      </c>
      <c r="F35" s="4" t="str">
        <f t="shared" ca="1" si="0"/>
        <v>Claimed</v>
      </c>
      <c r="G35" s="4" t="s">
        <v>171</v>
      </c>
      <c r="H35" s="4"/>
      <c r="I35" s="4">
        <v>46063</v>
      </c>
      <c r="J35">
        <f>IF(Table3[[#This Row],[Placement Fee &amp; Variables]]&gt;0,0,1)</f>
        <v>0</v>
      </c>
      <c r="K35" s="4">
        <f>Table3[[#This Row],[Joining Date]]+180</f>
        <v>46221</v>
      </c>
      <c r="L35" t="str">
        <f t="shared" ca="1" si="2"/>
        <v/>
      </c>
      <c r="M35" s="4">
        <v>46245</v>
      </c>
      <c r="N35">
        <f ca="1">IF(Table3[[#This Row],[6M Stat]]="Claimable",1,0)</f>
        <v>0</v>
      </c>
      <c r="O35" s="4">
        <f>Table3[[#This Row],[Joining Date]]+365</f>
        <v>46406</v>
      </c>
      <c r="Q35" t="str">
        <f t="shared" ca="1" si="1"/>
        <v/>
      </c>
      <c r="R35">
        <f ca="1">IF(Table3[[#This Row],[12 M Stat]]="Claimable",1,0)</f>
        <v>0</v>
      </c>
      <c r="S35">
        <f ca="1">Table3[[#This Row],[Placement claim Highlight]]+Table3[[#This Row],[Highlight rule 6M]]+Table3[[#This Row],[Highlight rule 12 M]]</f>
        <v>0</v>
      </c>
      <c r="T35" s="6">
        <f>SUM(Table3[[#This Row],[Placement Fee]:[Salary]])</f>
        <v>330</v>
      </c>
      <c r="U35" s="6"/>
      <c r="V35" s="6">
        <f>IF(Table1[[#This Row],[MoL]]="Yes",55,0)</f>
        <v>55</v>
      </c>
      <c r="W35" s="6">
        <f>IF(Table1[[#This Row],[Long MoL +3 Years]]="Yes",137.5,0)</f>
        <v>0</v>
      </c>
      <c r="X35" s="6">
        <f>IF(Table1[[#This Row],[Gender]]="Female",137.5,0)</f>
        <v>137.5</v>
      </c>
      <c r="Y35" s="6">
        <f>IF(Table1[[#This Row],[Education]]="Bachelors +",55,0)</f>
        <v>55</v>
      </c>
      <c r="Z35" s="6">
        <f>IF(Table1[[#This Row],[Salary]]&gt;=600,82.5,0)</f>
        <v>82.5</v>
      </c>
    </row>
    <row r="36" spans="1:26">
      <c r="A36" s="3">
        <f>Table1[[#This Row],[SL No.]]</f>
        <v>35</v>
      </c>
      <c r="B36" t="str">
        <f>Table1[[#This Row],[Case manager]]</f>
        <v>Husain</v>
      </c>
      <c r="C36" t="str">
        <f>Table1[[#This Row],[Ref No]]</f>
        <v>JCP/25/208891</v>
      </c>
      <c r="D36" t="str">
        <f>Table1[[#This Row],[Name]]</f>
        <v>SAYED JAAFAR EBRAHIM JAAFAR NEMAA</v>
      </c>
      <c r="E36" s="4">
        <f>'Placements 26'!F36</f>
        <v>46061</v>
      </c>
      <c r="F36" s="4" t="str">
        <f t="shared" ca="1" si="0"/>
        <v>Claimable</v>
      </c>
      <c r="G36" s="4" t="s">
        <v>171</v>
      </c>
      <c r="H36" s="4"/>
      <c r="I36" s="4">
        <v>46078</v>
      </c>
      <c r="J36">
        <f>IF(Table3[[#This Row],[Placement Fee &amp; Variables]]&gt;0,0,1)</f>
        <v>0</v>
      </c>
      <c r="K36" s="4">
        <f>Table3[[#This Row],[Joining Date]]+180</f>
        <v>46241</v>
      </c>
      <c r="L36" t="str">
        <f t="shared" ca="1" si="2"/>
        <v>Claimable</v>
      </c>
      <c r="N36">
        <f ca="1">IF(Table3[[#This Row],[6M Stat]]="Claimable",1,0)</f>
        <v>1</v>
      </c>
      <c r="O36" s="4">
        <f>Table3[[#This Row],[Joining Date]]+365</f>
        <v>46426</v>
      </c>
      <c r="Q36" t="str">
        <f t="shared" ca="1" si="1"/>
        <v/>
      </c>
      <c r="R36">
        <f ca="1">IF(Table3[[#This Row],[12 M Stat]]="Claimable",1,0)</f>
        <v>0</v>
      </c>
      <c r="S36">
        <f ca="1">Table3[[#This Row],[Placement claim Highlight]]+Table3[[#This Row],[Highlight rule 6M]]+Table3[[#This Row],[Highlight rule 12 M]]</f>
        <v>1</v>
      </c>
      <c r="T36" s="6">
        <f>SUM(Table3[[#This Row],[Placement Fee]:[Salary]])</f>
        <v>55</v>
      </c>
      <c r="U36" s="6"/>
      <c r="V36" s="6">
        <f>IF(Table1[[#This Row],[MoL]]="Yes",55,0)</f>
        <v>0</v>
      </c>
      <c r="W36" s="6">
        <f>IF(Table1[[#This Row],[Long MoL +3 Years]]="Yes",137.5,0)</f>
        <v>0</v>
      </c>
      <c r="X36" s="6">
        <f>IF(Table1[[#This Row],[Gender]]="Female",137.5,0)</f>
        <v>0</v>
      </c>
      <c r="Y36" s="6">
        <f>IF(Table1[[#This Row],[Education]]="Bachelors +",55,0)</f>
        <v>55</v>
      </c>
      <c r="Z36" s="6">
        <f>IF(Table1[[#This Row],[Salary]]&gt;=600,82.5,0)</f>
        <v>0</v>
      </c>
    </row>
    <row r="37" spans="1:26">
      <c r="A37" s="3">
        <f>Table1[[#This Row],[SL No.]]</f>
        <v>36</v>
      </c>
      <c r="B37" t="str">
        <f>Table1[[#This Row],[Case manager]]</f>
        <v>Husain</v>
      </c>
      <c r="C37" t="str">
        <f>Table1[[#This Row],[Ref No]]</f>
        <v>JCP/25/169005</v>
      </c>
      <c r="D37" t="str">
        <f>Table1[[#This Row],[Name]]</f>
        <v>YASER SALMAN EBRAHIM MAHDI</v>
      </c>
      <c r="E37" s="4">
        <f>'Placements 26'!F37</f>
        <v>46070</v>
      </c>
      <c r="F37" s="4" t="str">
        <f t="shared" ca="1" si="0"/>
        <v>Claimed</v>
      </c>
      <c r="G37" s="4" t="s">
        <v>171</v>
      </c>
      <c r="H37" s="4" t="s">
        <v>1155</v>
      </c>
      <c r="I37" s="4">
        <v>45713</v>
      </c>
      <c r="J37">
        <f>IF(Table3[[#This Row],[Placement Fee &amp; Variables]]&gt;0,0,1)</f>
        <v>0</v>
      </c>
      <c r="K37" s="4">
        <f>Table3[[#This Row],[Joining Date]]+180</f>
        <v>46250</v>
      </c>
      <c r="L37" t="str">
        <f t="shared" ca="1" si="2"/>
        <v/>
      </c>
      <c r="M37" s="4">
        <v>45890</v>
      </c>
      <c r="N37">
        <f ca="1">IF(Table3[[#This Row],[6M Stat]]="Claimable",1,0)</f>
        <v>0</v>
      </c>
      <c r="O37" s="4">
        <f>Table3[[#This Row],[Joining Date]]+365</f>
        <v>46435</v>
      </c>
      <c r="P37" s="4">
        <v>46070</v>
      </c>
      <c r="Q37" t="str">
        <f t="shared" ca="1" si="1"/>
        <v/>
      </c>
      <c r="R37">
        <f ca="1">IF(Table3[[#This Row],[12 M Stat]]="Claimable",1,0)</f>
        <v>0</v>
      </c>
      <c r="S37">
        <f ca="1">Table3[[#This Row],[Placement claim Highlight]]+Table3[[#This Row],[Highlight rule 6M]]+Table3[[#This Row],[Highlight rule 12 M]]</f>
        <v>0</v>
      </c>
      <c r="T37" s="6">
        <f>SUM(Table3[[#This Row],[Placement Fee]:[Salary]])</f>
        <v>55</v>
      </c>
      <c r="U37" s="6"/>
      <c r="V37" s="6">
        <f>IF(Table1[[#This Row],[MoL]]="Yes",55,0)</f>
        <v>55</v>
      </c>
      <c r="W37" s="6">
        <f>IF(Table1[[#This Row],[Long MoL +3 Years]]="Yes",137.5,0)</f>
        <v>0</v>
      </c>
      <c r="X37" s="6">
        <f>IF(Table1[[#This Row],[Gender]]="Female",137.5,0)</f>
        <v>0</v>
      </c>
      <c r="Y37" s="6">
        <f>IF(Table1[[#This Row],[Education]]="Bachelors +",55,0)</f>
        <v>0</v>
      </c>
      <c r="Z37" s="6">
        <f>IF(Table1[[#This Row],[Salary]]&gt;=600,82.5,0)</f>
        <v>0</v>
      </c>
    </row>
    <row r="38" spans="1:26">
      <c r="A38" s="3">
        <f>Table1[[#This Row],[SL No.]]</f>
        <v>37</v>
      </c>
      <c r="B38" t="str">
        <f>Table1[[#This Row],[Case manager]]</f>
        <v>Meaad</v>
      </c>
      <c r="C38" t="str">
        <f>Table1[[#This Row],[Ref No]]</f>
        <v>JCP/26/284939</v>
      </c>
      <c r="D38" t="str">
        <f>Table1[[#This Row],[Name]]</f>
        <v>Mariam Samir Ali</v>
      </c>
      <c r="E38" s="4">
        <f>'Placements 26'!F38</f>
        <v>46062</v>
      </c>
      <c r="F38" s="4" t="str">
        <f t="shared" ca="1" si="0"/>
        <v>Claimable</v>
      </c>
      <c r="G38" s="4" t="s">
        <v>38</v>
      </c>
      <c r="H38" s="4" t="s">
        <v>1158</v>
      </c>
      <c r="J38">
        <f>IF(Table3[[#This Row],[Placement Fee &amp; Variables]]&gt;0,0,1)</f>
        <v>1</v>
      </c>
      <c r="K38" s="4">
        <f>Table3[[#This Row],[Joining Date]]+180</f>
        <v>46242</v>
      </c>
      <c r="L38" t="str">
        <f t="shared" ca="1" si="2"/>
        <v>Claimable</v>
      </c>
      <c r="N38">
        <f ca="1">IF(Table3[[#This Row],[6M Stat]]="Claimable",1,0)</f>
        <v>1</v>
      </c>
      <c r="O38" s="4">
        <f>Table3[[#This Row],[Joining Date]]+365</f>
        <v>46427</v>
      </c>
      <c r="Q38" t="str">
        <f t="shared" ca="1" si="1"/>
        <v/>
      </c>
      <c r="R38">
        <f ca="1">IF(Table3[[#This Row],[12 M Stat]]="Claimable",1,0)</f>
        <v>0</v>
      </c>
      <c r="S38">
        <f ca="1">Table3[[#This Row],[Placement claim Highlight]]+Table3[[#This Row],[Highlight rule 6M]]+Table3[[#This Row],[Highlight rule 12 M]]</f>
        <v>2</v>
      </c>
      <c r="T38" s="6">
        <f>SUM(Table3[[#This Row],[Placement Fee]:[Salary]])</f>
        <v>82.5</v>
      </c>
      <c r="U38" s="6"/>
      <c r="V38" s="6">
        <f>IF(Table1[[#This Row],[MoL]]="Yes",55,0)</f>
        <v>0</v>
      </c>
      <c r="W38" s="6">
        <f>IF(Table1[[#This Row],[Long MoL +3 Years]]="Yes",137.5,0)</f>
        <v>0</v>
      </c>
      <c r="X38" s="6">
        <f>IF(Table1[[#This Row],[Gender]]="Female",137.5,0)</f>
        <v>0</v>
      </c>
      <c r="Y38" s="6">
        <f>IF(Table1[[#This Row],[Education]]="Bachelors +",55,0)</f>
        <v>0</v>
      </c>
      <c r="Z38" s="6">
        <f>IF(Table1[[#This Row],[Salary]]&gt;=600,82.5,0)</f>
        <v>82.5</v>
      </c>
    </row>
    <row r="39" spans="1:26">
      <c r="A39" s="3">
        <f>Table1[[#This Row],[SL No.]]</f>
        <v>38</v>
      </c>
      <c r="B39" t="str">
        <f>Table1[[#This Row],[Case manager]]</f>
        <v>Zainab Mattar</v>
      </c>
      <c r="C39" t="str">
        <f>Table1[[#This Row],[Ref No]]</f>
        <v>JCP/26/269393</v>
      </c>
      <c r="D39" t="str">
        <f>Table1[[#This Row],[Name]]</f>
        <v>FATEMA HASAN JASIM HASAN AHMED</v>
      </c>
      <c r="E39" s="4">
        <f>'Placements 26'!F39</f>
        <v>46075</v>
      </c>
      <c r="F39" s="4" t="str">
        <f t="shared" ca="1" si="0"/>
        <v>Claimable</v>
      </c>
      <c r="G39" s="4" t="s">
        <v>171</v>
      </c>
      <c r="H39" s="4"/>
      <c r="J39">
        <f>IF(Table3[[#This Row],[Placement Fee &amp; Variables]]&gt;0,0,1)</f>
        <v>1</v>
      </c>
      <c r="K39" s="4">
        <f>Table3[[#This Row],[Joining Date]]+180</f>
        <v>46255</v>
      </c>
      <c r="L39" t="str">
        <f t="shared" ca="1" si="2"/>
        <v>Claimable</v>
      </c>
      <c r="N39">
        <f ca="1">IF(Table3[[#This Row],[6M Stat]]="Claimable",1,0)</f>
        <v>1</v>
      </c>
      <c r="O39" s="4">
        <f>Table3[[#This Row],[Joining Date]]+365</f>
        <v>46440</v>
      </c>
      <c r="Q39" t="str">
        <f t="shared" ca="1" si="1"/>
        <v/>
      </c>
      <c r="R39">
        <f ca="1">IF(Table3[[#This Row],[12 M Stat]]="Claimable",1,0)</f>
        <v>0</v>
      </c>
      <c r="S39">
        <f ca="1">Table3[[#This Row],[Placement claim Highlight]]+Table3[[#This Row],[Highlight rule 6M]]+Table3[[#This Row],[Highlight rule 12 M]]</f>
        <v>2</v>
      </c>
      <c r="T39" s="6">
        <f>SUM(Table3[[#This Row],[Placement Fee]:[Salary]])</f>
        <v>247.5</v>
      </c>
      <c r="U39" s="6"/>
      <c r="V39" s="6">
        <f>IF(Table1[[#This Row],[MoL]]="Yes",55,0)</f>
        <v>55</v>
      </c>
      <c r="W39" s="6">
        <f>IF(Table1[[#This Row],[Long MoL +3 Years]]="Yes",137.5,0)</f>
        <v>0</v>
      </c>
      <c r="X39" s="6">
        <f>IF(Table1[[#This Row],[Gender]]="Female",137.5,0)</f>
        <v>137.5</v>
      </c>
      <c r="Y39" s="6">
        <f>IF(Table1[[#This Row],[Education]]="Bachelors +",55,0)</f>
        <v>55</v>
      </c>
      <c r="Z39" s="6">
        <f>IF(Table1[[#This Row],[Salary]]&gt;=600,82.5,0)</f>
        <v>0</v>
      </c>
    </row>
    <row r="40" spans="1:26">
      <c r="A40" s="3">
        <f>Table1[[#This Row],[SL No.]]</f>
        <v>39</v>
      </c>
      <c r="B40" t="str">
        <f>Table1[[#This Row],[Case manager]]</f>
        <v>Mahdi</v>
      </c>
      <c r="C40" t="str">
        <f>Table1[[#This Row],[Ref No]]</f>
        <v>JCP/25/181038</v>
      </c>
      <c r="D40" t="str">
        <f>Table1[[#This Row],[Name]]</f>
        <v xml:space="preserve">Hessa al doserri </v>
      </c>
      <c r="E40" s="4">
        <f>'Placements 26'!F40</f>
        <v>46071</v>
      </c>
      <c r="F40" s="4" t="str">
        <f t="shared" ca="1" si="0"/>
        <v>Claimable</v>
      </c>
      <c r="G40" s="4" t="s">
        <v>171</v>
      </c>
      <c r="H40" s="4"/>
      <c r="J40">
        <f>IF(Table3[[#This Row],[Placement Fee &amp; Variables]]&gt;0,0,1)</f>
        <v>1</v>
      </c>
      <c r="K40" s="4">
        <f>Table3[[#This Row],[Joining Date]]+180</f>
        <v>46251</v>
      </c>
      <c r="L40" t="str">
        <f t="shared" ca="1" si="2"/>
        <v>Claimable</v>
      </c>
      <c r="N40">
        <f ca="1">IF(Table3[[#This Row],[6M Stat]]="Claimable",1,0)</f>
        <v>1</v>
      </c>
      <c r="O40" s="4">
        <f>Table3[[#This Row],[Joining Date]]+365</f>
        <v>46436</v>
      </c>
      <c r="Q40" t="str">
        <f t="shared" ca="1" si="1"/>
        <v/>
      </c>
      <c r="R40">
        <f ca="1">IF(Table3[[#This Row],[12 M Stat]]="Claimable",1,0)</f>
        <v>0</v>
      </c>
      <c r="S40">
        <f ca="1">Table3[[#This Row],[Placement claim Highlight]]+Table3[[#This Row],[Highlight rule 6M]]+Table3[[#This Row],[Highlight rule 12 M]]</f>
        <v>2</v>
      </c>
      <c r="T40" s="6">
        <f>SUM(Table3[[#This Row],[Placement Fee]:[Salary]])</f>
        <v>330</v>
      </c>
      <c r="U40" s="6"/>
      <c r="V40" s="6">
        <f>IF(Table1[[#This Row],[MoL]]="Yes",55,0)</f>
        <v>55</v>
      </c>
      <c r="W40" s="6">
        <f>IF(Table1[[#This Row],[Long MoL +3 Years]]="Yes",137.5,0)</f>
        <v>0</v>
      </c>
      <c r="X40" s="6">
        <f>IF(Table1[[#This Row],[Gender]]="Female",137.5,0)</f>
        <v>137.5</v>
      </c>
      <c r="Y40" s="6">
        <f>IF(Table1[[#This Row],[Education]]="Bachelors +",55,0)</f>
        <v>55</v>
      </c>
      <c r="Z40" s="6">
        <f>IF(Table1[[#This Row],[Salary]]&gt;=600,82.5,0)</f>
        <v>82.5</v>
      </c>
    </row>
    <row r="41" spans="1:26">
      <c r="A41" s="3">
        <f>Table1[[#This Row],[SL No.]]</f>
        <v>40</v>
      </c>
      <c r="B41" t="str">
        <f>Table1[[#This Row],[Case manager]]</f>
        <v>Meaad</v>
      </c>
      <c r="C41" t="str">
        <f>Table1[[#This Row],[Ref No]]</f>
        <v>JCP/26/284947</v>
      </c>
      <c r="D41" t="str">
        <f>Table1[[#This Row],[Name]]</f>
        <v>MARYAM MOHAMED A. ALMUQAHWI</v>
      </c>
      <c r="E41" s="4">
        <f>'Placements 26'!F41</f>
        <v>46061</v>
      </c>
      <c r="F41" s="4" t="str">
        <f t="shared" ca="1" si="0"/>
        <v>Claimable</v>
      </c>
      <c r="G41" s="4" t="s">
        <v>38</v>
      </c>
      <c r="H41" s="4"/>
      <c r="I41" s="4">
        <v>46140</v>
      </c>
      <c r="J41">
        <f>IF(Table3[[#This Row],[Placement Fee &amp; Variables]]&gt;0,0,1)</f>
        <v>0</v>
      </c>
      <c r="K41" s="4">
        <f>Table3[[#This Row],[Joining Date]]+180</f>
        <v>46241</v>
      </c>
      <c r="L41" t="str">
        <f t="shared" ca="1" si="2"/>
        <v>Claimable</v>
      </c>
      <c r="M41" s="4"/>
      <c r="N41">
        <f ca="1">IF(Table3[[#This Row],[6M Stat]]="Claimable",1,0)</f>
        <v>1</v>
      </c>
      <c r="O41" s="4">
        <f>Table3[[#This Row],[Joining Date]]+365</f>
        <v>46426</v>
      </c>
      <c r="Q41" t="str">
        <f t="shared" ca="1" si="1"/>
        <v/>
      </c>
      <c r="R41">
        <f ca="1">IF(Table3[[#This Row],[12 M Stat]]="Claimable",1,0)</f>
        <v>0</v>
      </c>
      <c r="S41">
        <f ca="1">Table3[[#This Row],[Placement claim Highlight]]+Table3[[#This Row],[Highlight rule 6M]]+Table3[[#This Row],[Highlight rule 12 M]]</f>
        <v>1</v>
      </c>
      <c r="T41" s="6">
        <f>SUM(Table3[[#This Row],[Placement Fee]:[Salary]])</f>
        <v>0</v>
      </c>
      <c r="U41" s="6"/>
      <c r="V41" s="6">
        <f>IF(Table1[[#This Row],[MoL]]="Yes",55,0)</f>
        <v>0</v>
      </c>
      <c r="W41" s="6">
        <f>IF(Table1[[#This Row],[Long MoL +3 Years]]="Yes",137.5,0)</f>
        <v>0</v>
      </c>
      <c r="X41" s="6">
        <f>IF(Table1[[#This Row],[Gender]]="Female",137.5,0)</f>
        <v>0</v>
      </c>
      <c r="Y41" s="6">
        <f>IF(Table1[[#This Row],[Education]]="Bachelors +",55,0)</f>
        <v>0</v>
      </c>
      <c r="Z41" s="6">
        <f>IF(Table1[[#This Row],[Salary]]&gt;=600,82.5,0)</f>
        <v>0</v>
      </c>
    </row>
    <row r="42" spans="1:26">
      <c r="A42" s="3">
        <f>Table1[[#This Row],[SL No.]]</f>
        <v>41</v>
      </c>
      <c r="B42" t="str">
        <f>Table1[[#This Row],[Case manager]]</f>
        <v>Meaad</v>
      </c>
      <c r="C42" t="str">
        <f>Table1[[#This Row],[Ref No]]</f>
        <v>JCP/26/286460</v>
      </c>
      <c r="D42" t="str">
        <f>Table1[[#This Row],[Name]]</f>
        <v>Sharifa Abdulrazzaq Hasan</v>
      </c>
      <c r="E42" s="4">
        <f>'Placements 26'!F42</f>
        <v>46071</v>
      </c>
      <c r="F42" s="4" t="str">
        <f t="shared" ca="1" si="0"/>
        <v>Claimed</v>
      </c>
      <c r="G42" s="4" t="s">
        <v>38</v>
      </c>
      <c r="H42" s="4"/>
      <c r="I42" s="4">
        <v>46076</v>
      </c>
      <c r="J42">
        <f>IF(Table3[[#This Row],[Placement Fee &amp; Variables]]&gt;0,0,1)</f>
        <v>0</v>
      </c>
      <c r="K42" s="4">
        <f>Table3[[#This Row],[Joining Date]]+180</f>
        <v>46251</v>
      </c>
      <c r="L42" t="str">
        <f t="shared" ca="1" si="2"/>
        <v/>
      </c>
      <c r="M42" s="116">
        <v>46252</v>
      </c>
      <c r="N42">
        <f ca="1">IF(Table3[[#This Row],[6M Stat]]="Claimable",1,0)</f>
        <v>0</v>
      </c>
      <c r="O42" s="4">
        <f>Table3[[#This Row],[Joining Date]]+365</f>
        <v>46436</v>
      </c>
      <c r="Q42" t="str">
        <f t="shared" ca="1" si="1"/>
        <v/>
      </c>
      <c r="R42">
        <f ca="1">IF(Table3[[#This Row],[12 M Stat]]="Claimable",1,0)</f>
        <v>0</v>
      </c>
      <c r="S42">
        <f ca="1">Table3[[#This Row],[Placement claim Highlight]]+Table3[[#This Row],[Highlight rule 6M]]+Table3[[#This Row],[Highlight rule 12 M]]</f>
        <v>0</v>
      </c>
      <c r="T42" s="6">
        <f>SUM(Table3[[#This Row],[Placement Fee]:[Salary]])</f>
        <v>330</v>
      </c>
      <c r="U42" s="6"/>
      <c r="V42" s="6">
        <f>IF(Table1[[#This Row],[MoL]]="Yes",55,0)</f>
        <v>55</v>
      </c>
      <c r="W42" s="6">
        <f>IF(Table1[[#This Row],[Long MoL +3 Years]]="Yes",137.5,0)</f>
        <v>0</v>
      </c>
      <c r="X42" s="6">
        <f>IF(Table1[[#This Row],[Gender]]="Female",137.5,0)</f>
        <v>137.5</v>
      </c>
      <c r="Y42" s="6">
        <f>IF(Table1[[#This Row],[Education]]="Bachelors +",55,0)</f>
        <v>55</v>
      </c>
      <c r="Z42" s="6">
        <f>IF(Table1[[#This Row],[Salary]]&gt;=600,82.5,0)</f>
        <v>82.5</v>
      </c>
    </row>
    <row r="43" spans="1:26">
      <c r="A43" s="3">
        <f>Table1[[#This Row],[SL No.]]</f>
        <v>42</v>
      </c>
      <c r="B43" t="str">
        <f>Table1[[#This Row],[Case manager]]</f>
        <v>Husain</v>
      </c>
      <c r="C43" t="str">
        <f>Table1[[#This Row],[Ref No]]</f>
        <v>JCP/25/213261</v>
      </c>
      <c r="D43" t="str">
        <f>Table1[[#This Row],[Name]]</f>
        <v>AMMAR SALEH HASAN AHMED ALI</v>
      </c>
      <c r="E43" s="4">
        <f>'Placements 26'!F43</f>
        <v>45893</v>
      </c>
      <c r="F43" s="4" t="str">
        <f t="shared" ca="1" si="0"/>
        <v>Claimable</v>
      </c>
      <c r="G43" s="4" t="s">
        <v>171</v>
      </c>
      <c r="H43" s="4" t="s">
        <v>1159</v>
      </c>
      <c r="I43" s="42">
        <v>45921</v>
      </c>
      <c r="J43">
        <f>IF(Table3[[#This Row],[Placement Fee &amp; Variables]]&gt;0,0,1)</f>
        <v>0</v>
      </c>
      <c r="K43" s="4">
        <f>Table3[[#This Row],[Joining Date]]+180</f>
        <v>46073</v>
      </c>
      <c r="L43" t="str">
        <f t="shared" ca="1" si="2"/>
        <v/>
      </c>
      <c r="M43" s="4">
        <v>46077</v>
      </c>
      <c r="N43">
        <f ca="1">IF(Table3[[#This Row],[6M Stat]]="Claimable",1,0)</f>
        <v>0</v>
      </c>
      <c r="O43" s="4">
        <f>Table3[[#This Row],[Joining Date]]+365</f>
        <v>46258</v>
      </c>
      <c r="Q43" t="str">
        <f t="shared" ca="1" si="1"/>
        <v>Claimable</v>
      </c>
      <c r="R43">
        <f ca="1">IF(Table3[[#This Row],[12 M Stat]]="Claimable",1,0)</f>
        <v>1</v>
      </c>
      <c r="S43">
        <f ca="1">Table3[[#This Row],[Placement claim Highlight]]+Table3[[#This Row],[Highlight rule 6M]]+Table3[[#This Row],[Highlight rule 12 M]]</f>
        <v>1</v>
      </c>
      <c r="T43" s="6">
        <f>SUM(Table3[[#This Row],[Placement Fee]:[Salary]])</f>
        <v>55</v>
      </c>
      <c r="U43" s="6"/>
      <c r="V43" s="6">
        <f>IF(Table1[[#This Row],[MoL]]="Yes",55,0)</f>
        <v>55</v>
      </c>
      <c r="W43" s="6">
        <f>IF(Table1[[#This Row],[Long MoL +3 Years]]="Yes",137.5,0)</f>
        <v>0</v>
      </c>
      <c r="X43" s="6">
        <f>IF(Table1[[#This Row],[Gender]]="Female",137.5,0)</f>
        <v>0</v>
      </c>
      <c r="Y43" s="6">
        <f>IF(Table1[[#This Row],[Education]]="Bachelors +",55,0)</f>
        <v>0</v>
      </c>
      <c r="Z43" s="6">
        <f>IF(Table1[[#This Row],[Salary]]&gt;=600,82.5,0)</f>
        <v>0</v>
      </c>
    </row>
    <row r="44" spans="1:26">
      <c r="A44" s="3">
        <f>Table1[[#This Row],[SL No.]]</f>
        <v>43</v>
      </c>
      <c r="B44" t="str">
        <f>Table1[[#This Row],[Case manager]]</f>
        <v>Husain</v>
      </c>
      <c r="C44" t="str">
        <f>Table1[[#This Row],[Ref No]]</f>
        <v>JCP/25/217089</v>
      </c>
      <c r="D44" t="str">
        <f>Table1[[#This Row],[Name]]</f>
        <v>ALI HUSAIN ABDULLA KAD FARDAN</v>
      </c>
      <c r="E44" s="4">
        <f>'Placements 26'!F44</f>
        <v>45886</v>
      </c>
      <c r="F44" s="4" t="str">
        <f t="shared" ca="1" si="0"/>
        <v>Claimable</v>
      </c>
      <c r="G44" s="4" t="s">
        <v>171</v>
      </c>
      <c r="H44" s="4" t="s">
        <v>1159</v>
      </c>
      <c r="I44" s="4">
        <v>45889</v>
      </c>
      <c r="J44">
        <f>IF(Table3[[#This Row],[Placement Fee &amp; Variables]]&gt;0,0,1)</f>
        <v>0</v>
      </c>
      <c r="K44" s="4">
        <f>Table3[[#This Row],[Joining Date]]+180</f>
        <v>46066</v>
      </c>
      <c r="L44" t="str">
        <f t="shared" ca="1" si="2"/>
        <v/>
      </c>
      <c r="M44" s="4">
        <v>46079</v>
      </c>
      <c r="N44">
        <f ca="1">IF(Table3[[#This Row],[6M Stat]]="Claimable",1,0)</f>
        <v>0</v>
      </c>
      <c r="O44" s="4">
        <f>Table3[[#This Row],[Joining Date]]+365</f>
        <v>46251</v>
      </c>
      <c r="Q44" t="str">
        <f t="shared" ca="1" si="1"/>
        <v>Claimable</v>
      </c>
      <c r="R44">
        <f ca="1">IF(Table3[[#This Row],[12 M Stat]]="Claimable",1,0)</f>
        <v>1</v>
      </c>
      <c r="S44">
        <f ca="1">Table3[[#This Row],[Placement claim Highlight]]+Table3[[#This Row],[Highlight rule 6M]]+Table3[[#This Row],[Highlight rule 12 M]]</f>
        <v>1</v>
      </c>
      <c r="T44" s="6">
        <f>SUM(Table3[[#This Row],[Placement Fee]:[Salary]])</f>
        <v>55</v>
      </c>
      <c r="U44" s="6"/>
      <c r="V44" s="6">
        <f>IF(Table1[[#This Row],[MoL]]="Yes",55,0)</f>
        <v>55</v>
      </c>
      <c r="W44" s="6">
        <f>IF(Table1[[#This Row],[Long MoL +3 Years]]="Yes",137.5,0)</f>
        <v>0</v>
      </c>
      <c r="X44" s="6">
        <f>IF(Table1[[#This Row],[Gender]]="Female",137.5,0)</f>
        <v>0</v>
      </c>
      <c r="Y44" s="6">
        <f>IF(Table1[[#This Row],[Education]]="Bachelors +",55,0)</f>
        <v>0</v>
      </c>
      <c r="Z44" s="6">
        <f>IF(Table1[[#This Row],[Salary]]&gt;=600,82.5,0)</f>
        <v>0</v>
      </c>
    </row>
    <row r="45" spans="1:26">
      <c r="A45" s="3">
        <f>Table1[[#This Row],[SL No.]]</f>
        <v>44</v>
      </c>
      <c r="B45" t="str">
        <f>Table1[[#This Row],[Case manager]]</f>
        <v>Meaad</v>
      </c>
      <c r="C45" t="str">
        <f>Table1[[#This Row],[Ref No]]</f>
        <v>JCP/26/286051</v>
      </c>
      <c r="D45" t="str">
        <f>Table1[[#This Row],[Name]]</f>
        <v>Fatima Mukhtar</v>
      </c>
      <c r="E45" s="4">
        <f>'Placements 26'!F45</f>
        <v>46068</v>
      </c>
      <c r="F45" s="4" t="str">
        <f t="shared" ca="1" si="0"/>
        <v>Claimed</v>
      </c>
      <c r="G45" s="4" t="s">
        <v>38</v>
      </c>
      <c r="H45" s="4"/>
      <c r="I45" s="4">
        <v>46128</v>
      </c>
      <c r="J45">
        <f>IF(Table3[[#This Row],[Placement Fee &amp; Variables]]&gt;0,0,1)</f>
        <v>0</v>
      </c>
      <c r="K45" s="4">
        <f>Table3[[#This Row],[Joining Date]]+180</f>
        <v>46248</v>
      </c>
      <c r="L45" t="str">
        <f t="shared" ca="1" si="2"/>
        <v/>
      </c>
      <c r="M45" s="116">
        <v>46252</v>
      </c>
      <c r="N45">
        <f ca="1">IF(Table3[[#This Row],[6M Stat]]="Claimable",1,0)</f>
        <v>0</v>
      </c>
      <c r="O45" s="4">
        <f>Table3[[#This Row],[Joining Date]]+365</f>
        <v>46433</v>
      </c>
      <c r="Q45" t="str">
        <f t="shared" ca="1" si="1"/>
        <v/>
      </c>
      <c r="R45">
        <f ca="1">IF(Table3[[#This Row],[12 M Stat]]="Claimable",1,0)</f>
        <v>0</v>
      </c>
      <c r="S45">
        <f ca="1">Table3[[#This Row],[Placement claim Highlight]]+Table3[[#This Row],[Highlight rule 6M]]+Table3[[#This Row],[Highlight rule 12 M]]</f>
        <v>0</v>
      </c>
      <c r="T45" s="6">
        <f>SUM(Table3[[#This Row],[Placement Fee]:[Salary]])</f>
        <v>192.5</v>
      </c>
      <c r="U45" s="6"/>
      <c r="V45" s="6">
        <f>IF(Table1[[#This Row],[MoL]]="Yes",55,0)</f>
        <v>0</v>
      </c>
      <c r="W45" s="6">
        <f>IF(Table1[[#This Row],[Long MoL +3 Years]]="Yes",137.5,0)</f>
        <v>0</v>
      </c>
      <c r="X45" s="6">
        <f>IF(Table1[[#This Row],[Gender]]="Female",137.5,0)</f>
        <v>137.5</v>
      </c>
      <c r="Y45" s="6">
        <f>IF(Table1[[#This Row],[Education]]="Bachelors +",55,0)</f>
        <v>55</v>
      </c>
      <c r="Z45" s="6">
        <f>IF(Table1[[#This Row],[Salary]]&gt;=600,82.5,0)</f>
        <v>0</v>
      </c>
    </row>
    <row r="46" spans="1:26">
      <c r="A46" s="3">
        <f>Table1[[#This Row],[SL No.]]</f>
        <v>45</v>
      </c>
      <c r="B46" t="str">
        <f>Table1[[#This Row],[Case manager]]</f>
        <v>Meaad</v>
      </c>
      <c r="C46" t="str">
        <f>Table1[[#This Row],[Ref No]]</f>
        <v>JCP/26/286053</v>
      </c>
      <c r="D46" t="str">
        <f>Table1[[#This Row],[Name]]</f>
        <v>MARYAM A.JALIL ABDULLA HASAN ABDULLA SARHAN</v>
      </c>
      <c r="E46" s="4">
        <f>'Placements 26'!F46</f>
        <v>46068</v>
      </c>
      <c r="F46" s="4" t="str">
        <f t="shared" ca="1" si="0"/>
        <v>Claimable</v>
      </c>
      <c r="G46" s="4" t="s">
        <v>171</v>
      </c>
      <c r="H46" s="4" t="s">
        <v>1158</v>
      </c>
      <c r="J46">
        <f>IF(Table3[[#This Row],[Placement Fee &amp; Variables]]&gt;0,0,1)</f>
        <v>1</v>
      </c>
      <c r="K46" s="4">
        <f>Table3[[#This Row],[Joining Date]]+180</f>
        <v>46248</v>
      </c>
      <c r="L46" t="str">
        <f t="shared" ca="1" si="2"/>
        <v>Claimable</v>
      </c>
      <c r="N46">
        <f ca="1">IF(Table3[[#This Row],[6M Stat]]="Claimable",1,0)</f>
        <v>1</v>
      </c>
      <c r="O46" s="4">
        <f>Table3[[#This Row],[Joining Date]]+365</f>
        <v>46433</v>
      </c>
      <c r="Q46" t="str">
        <f t="shared" ca="1" si="1"/>
        <v/>
      </c>
      <c r="R46">
        <f ca="1">IF(Table3[[#This Row],[12 M Stat]]="Claimable",1,0)</f>
        <v>0</v>
      </c>
      <c r="S46">
        <f ca="1">Table3[[#This Row],[Placement claim Highlight]]+Table3[[#This Row],[Highlight rule 6M]]+Table3[[#This Row],[Highlight rule 12 M]]</f>
        <v>2</v>
      </c>
      <c r="T46" s="6">
        <f>SUM(Table3[[#This Row],[Placement Fee]:[Salary]])</f>
        <v>192.5</v>
      </c>
      <c r="U46" s="6"/>
      <c r="V46" s="6">
        <f>IF(Table1[[#This Row],[MoL]]="Yes",55,0)</f>
        <v>0</v>
      </c>
      <c r="W46" s="6">
        <f>IF(Table1[[#This Row],[Long MoL +3 Years]]="Yes",137.5,0)</f>
        <v>0</v>
      </c>
      <c r="X46" s="6">
        <f>IF(Table1[[#This Row],[Gender]]="Female",137.5,0)</f>
        <v>137.5</v>
      </c>
      <c r="Y46" s="6">
        <f>IF(Table1[[#This Row],[Education]]="Bachelors +",55,0)</f>
        <v>55</v>
      </c>
      <c r="Z46" s="6">
        <f>IF(Table1[[#This Row],[Salary]]&gt;=600,82.5,0)</f>
        <v>0</v>
      </c>
    </row>
    <row r="47" spans="1:26">
      <c r="A47" s="3">
        <f>Table1[[#This Row],[SL No.]]</f>
        <v>46</v>
      </c>
      <c r="B47" t="str">
        <f>Table1[[#This Row],[Case manager]]</f>
        <v>Meaad</v>
      </c>
      <c r="C47" t="str">
        <f>Table1[[#This Row],[Ref No]]</f>
        <v>JCP/26/286885</v>
      </c>
      <c r="D47" t="str">
        <f>Table1[[#This Row],[Name]]</f>
        <v>Naba Zuhair AlElaiwat</v>
      </c>
      <c r="E47" s="4">
        <f>'Placements 26'!F47</f>
        <v>46076</v>
      </c>
      <c r="F47" s="4" t="str">
        <f t="shared" ca="1" si="0"/>
        <v>Claimed</v>
      </c>
      <c r="G47" s="4" t="s">
        <v>38</v>
      </c>
      <c r="H47" s="4"/>
      <c r="I47" s="4">
        <v>46133</v>
      </c>
      <c r="J47">
        <f>IF(Table3[[#This Row],[Placement Fee &amp; Variables]]&gt;0,0,1)</f>
        <v>0</v>
      </c>
      <c r="K47" s="4">
        <f>Table3[[#This Row],[Joining Date]]+180</f>
        <v>46256</v>
      </c>
      <c r="L47" t="str">
        <f t="shared" ca="1" si="2"/>
        <v/>
      </c>
      <c r="M47" s="116">
        <v>46245</v>
      </c>
      <c r="N47">
        <f ca="1">IF(Table3[[#This Row],[6M Stat]]="Claimable",1,0)</f>
        <v>0</v>
      </c>
      <c r="O47" s="4">
        <f>Table3[[#This Row],[Joining Date]]+365</f>
        <v>46441</v>
      </c>
      <c r="Q47" t="str">
        <f t="shared" ca="1" si="1"/>
        <v/>
      </c>
      <c r="R47">
        <f ca="1">IF(Table3[[#This Row],[12 M Stat]]="Claimable",1,0)</f>
        <v>0</v>
      </c>
      <c r="S47">
        <f ca="1">Table3[[#This Row],[Placement claim Highlight]]+Table3[[#This Row],[Highlight rule 6M]]+Table3[[#This Row],[Highlight rule 12 M]]</f>
        <v>0</v>
      </c>
      <c r="T47" s="6">
        <f>SUM(Table3[[#This Row],[Placement Fee]:[Salary]])</f>
        <v>0</v>
      </c>
      <c r="U47" s="6"/>
      <c r="V47" s="6">
        <f>IF(Table1[[#This Row],[MoL]]="Yes",55,0)</f>
        <v>0</v>
      </c>
      <c r="W47" s="6">
        <f>IF(Table1[[#This Row],[Long MoL +3 Years]]="Yes",137.5,0)</f>
        <v>0</v>
      </c>
      <c r="X47" s="6">
        <f>IF(Table1[[#This Row],[Gender]]="Female",137.5,0)</f>
        <v>0</v>
      </c>
      <c r="Y47" s="6">
        <f>IF(Table1[[#This Row],[Education]]="Bachelors +",55,0)</f>
        <v>0</v>
      </c>
      <c r="Z47" s="6">
        <f>IF(Table1[[#This Row],[Salary]]&gt;=600,82.5,0)</f>
        <v>0</v>
      </c>
    </row>
    <row r="48" spans="1:26">
      <c r="A48" s="3">
        <f>Table1[[#This Row],[SL No.]]</f>
        <v>47</v>
      </c>
      <c r="B48" t="str">
        <f>Table1[[#This Row],[Case manager]]</f>
        <v>Husain</v>
      </c>
      <c r="C48" t="str">
        <f>Table1[[#This Row],[Ref No]]</f>
        <v>JCP/25/171258</v>
      </c>
      <c r="D48" t="str">
        <f>Table1[[#This Row],[Name]]</f>
        <v>Noora Faqir</v>
      </c>
      <c r="E48" s="4">
        <f>'Placements 26'!F48</f>
        <v>45721</v>
      </c>
      <c r="F48" s="4" t="str">
        <f t="shared" ca="1" si="0"/>
        <v>Claimed</v>
      </c>
      <c r="G48" s="4" t="s">
        <v>171</v>
      </c>
      <c r="H48" s="4" t="s">
        <v>1155</v>
      </c>
      <c r="I48" s="4">
        <v>45722</v>
      </c>
      <c r="J48">
        <f>IF(Table3[[#This Row],[Placement Fee &amp; Variables]]&gt;0,0,1)</f>
        <v>0</v>
      </c>
      <c r="K48" s="4">
        <f>Table3[[#This Row],[Joining Date]]+180</f>
        <v>45901</v>
      </c>
      <c r="L48" t="str">
        <f t="shared" ca="1" si="2"/>
        <v/>
      </c>
      <c r="M48" s="4">
        <v>45907</v>
      </c>
      <c r="N48">
        <f ca="1">IF(Table3[[#This Row],[6M Stat]]="Claimable",1,0)</f>
        <v>0</v>
      </c>
      <c r="O48" s="4">
        <f>Table3[[#This Row],[Joining Date]]+365</f>
        <v>46086</v>
      </c>
      <c r="P48" s="4">
        <v>46086</v>
      </c>
      <c r="Q48" t="str">
        <f t="shared" ca="1" si="1"/>
        <v/>
      </c>
      <c r="R48">
        <f ca="1">IF(Table3[[#This Row],[12 M Stat]]="Claimable",1,0)</f>
        <v>0</v>
      </c>
      <c r="S48">
        <f ca="1">Table3[[#This Row],[Placement claim Highlight]]+Table3[[#This Row],[Highlight rule 6M]]+Table3[[#This Row],[Highlight rule 12 M]]</f>
        <v>0</v>
      </c>
      <c r="T48" s="6">
        <f>SUM(Table3[[#This Row],[Placement Fee]:[Salary]])</f>
        <v>137.5</v>
      </c>
      <c r="U48" s="6"/>
      <c r="V48" s="6">
        <f>IF(Table1[[#This Row],[MoL]]="Yes",55,0)</f>
        <v>0</v>
      </c>
      <c r="W48" s="6">
        <f>IF(Table1[[#This Row],[Long MoL +3 Years]]="Yes",137.5,0)</f>
        <v>0</v>
      </c>
      <c r="X48" s="6">
        <f>IF(Table1[[#This Row],[Gender]]="Female",137.5,0)</f>
        <v>137.5</v>
      </c>
      <c r="Y48" s="6">
        <f>IF(Table1[[#This Row],[Education]]="Bachelors +",55,0)</f>
        <v>0</v>
      </c>
      <c r="Z48" s="6">
        <f>IF(Table1[[#This Row],[Salary]]&gt;=600,82.5,0)</f>
        <v>0</v>
      </c>
    </row>
    <row r="49" spans="1:26">
      <c r="A49" s="3">
        <f>Table1[[#This Row],[SL No.]]</f>
        <v>48</v>
      </c>
      <c r="B49" t="str">
        <f>Table1[[#This Row],[Case manager]]</f>
        <v>Meaad</v>
      </c>
      <c r="C49" t="str">
        <f>Table1[[#This Row],[Ref No]]</f>
        <v>JCP/26/286809</v>
      </c>
      <c r="D49" t="str">
        <f>Table1[[#This Row],[Name]]</f>
        <v>Ameera Husain Hamad</v>
      </c>
      <c r="E49" s="4">
        <f>'Placements 26'!F49</f>
        <v>46082</v>
      </c>
      <c r="F49" s="4" t="str">
        <f t="shared" ca="1" si="0"/>
        <v>Claimable</v>
      </c>
      <c r="G49" s="4" t="s">
        <v>171</v>
      </c>
      <c r="H49" s="4"/>
      <c r="I49" s="4">
        <v>45724</v>
      </c>
      <c r="J49">
        <f>IF(Table3[[#This Row],[Placement Fee &amp; Variables]]&gt;0,0,1)</f>
        <v>0</v>
      </c>
      <c r="K49" s="4">
        <f>Table3[[#This Row],[Joining Date]]+180</f>
        <v>46262</v>
      </c>
      <c r="L49" t="str">
        <f t="shared" ca="1" si="2"/>
        <v>Claimable</v>
      </c>
      <c r="N49">
        <f ca="1">IF(Table3[[#This Row],[6M Stat]]="Claimable",1,0)</f>
        <v>1</v>
      </c>
      <c r="O49" s="4">
        <f>Table3[[#This Row],[Joining Date]]+365</f>
        <v>46447</v>
      </c>
      <c r="Q49" t="str">
        <f t="shared" ca="1" si="1"/>
        <v/>
      </c>
      <c r="R49">
        <f ca="1">IF(Table3[[#This Row],[12 M Stat]]="Claimable",1,0)</f>
        <v>0</v>
      </c>
      <c r="S49">
        <f ca="1">Table3[[#This Row],[Placement claim Highlight]]+Table3[[#This Row],[Highlight rule 6M]]+Table3[[#This Row],[Highlight rule 12 M]]</f>
        <v>1</v>
      </c>
      <c r="T49" s="6">
        <f>SUM(Table3[[#This Row],[Placement Fee]:[Salary]])</f>
        <v>275</v>
      </c>
      <c r="U49" s="6"/>
      <c r="V49" s="6">
        <f>IF(Table1[[#This Row],[MoL]]="Yes",55,0)</f>
        <v>0</v>
      </c>
      <c r="W49" s="6">
        <f>IF(Table1[[#This Row],[Long MoL +3 Years]]="Yes",137.5,0)</f>
        <v>0</v>
      </c>
      <c r="X49" s="6">
        <f>IF(Table1[[#This Row],[Gender]]="Female",137.5,0)</f>
        <v>137.5</v>
      </c>
      <c r="Y49" s="6">
        <f>IF(Table1[[#This Row],[Education]]="Bachelors +",55,0)</f>
        <v>55</v>
      </c>
      <c r="Z49" s="6">
        <f>IF(Table1[[#This Row],[Salary]]&gt;=600,82.5,0)</f>
        <v>82.5</v>
      </c>
    </row>
    <row r="50" spans="1:26">
      <c r="A50" s="3">
        <f>Table1[[#This Row],[SL No.]]</f>
        <v>49</v>
      </c>
      <c r="B50" t="str">
        <f>Table1[[#This Row],[Case manager]]</f>
        <v>Husain</v>
      </c>
      <c r="C50" t="str">
        <f>Table1[[#This Row],[Ref No]]</f>
        <v>JCP/25/153757</v>
      </c>
      <c r="D50" t="str">
        <f>Table1[[#This Row],[Name]]</f>
        <v>Sayed Moosa Mahdi Alawi Mohsen Ahmed</v>
      </c>
      <c r="E50" s="4">
        <f>'Placements 26'!F50</f>
        <v>45725</v>
      </c>
      <c r="F50" s="4" t="str">
        <f t="shared" ca="1" si="0"/>
        <v>Claimed</v>
      </c>
      <c r="G50" s="4" t="s">
        <v>171</v>
      </c>
      <c r="H50" s="4" t="s">
        <v>1155</v>
      </c>
      <c r="I50" s="4">
        <v>45736</v>
      </c>
      <c r="J50">
        <f>IF(Table3[[#This Row],[Placement Fee &amp; Variables]]&gt;0,0,1)</f>
        <v>0</v>
      </c>
      <c r="K50" s="4">
        <f>Table3[[#This Row],[Joining Date]]+180</f>
        <v>45905</v>
      </c>
      <c r="L50" t="str">
        <f t="shared" ca="1" si="2"/>
        <v/>
      </c>
      <c r="M50" s="4">
        <v>45909</v>
      </c>
      <c r="N50">
        <f ca="1">IF(Table3[[#This Row],[6M Stat]]="Claimable",1,0)</f>
        <v>0</v>
      </c>
      <c r="O50" s="4">
        <f>Table3[[#This Row],[Joining Date]]+365</f>
        <v>46090</v>
      </c>
      <c r="P50" s="4">
        <v>46090</v>
      </c>
      <c r="Q50" t="str">
        <f t="shared" ca="1" si="1"/>
        <v/>
      </c>
      <c r="R50">
        <f ca="1">IF(Table3[[#This Row],[12 M Stat]]="Claimable",1,0)</f>
        <v>0</v>
      </c>
      <c r="S50">
        <f ca="1">Table3[[#This Row],[Placement claim Highlight]]+Table3[[#This Row],[Highlight rule 6M]]+Table3[[#This Row],[Highlight rule 12 M]]</f>
        <v>0</v>
      </c>
      <c r="T50" s="6">
        <f>SUM(Table3[[#This Row],[Placement Fee]:[Salary]])</f>
        <v>0</v>
      </c>
      <c r="U50" s="6"/>
      <c r="V50" s="6">
        <f>IF(Table1[[#This Row],[MoL]]="Yes",55,0)</f>
        <v>0</v>
      </c>
      <c r="W50" s="6">
        <f>IF(Table1[[#This Row],[Long MoL +3 Years]]="Yes",137.5,0)</f>
        <v>0</v>
      </c>
      <c r="X50" s="6">
        <f>IF(Table1[[#This Row],[Gender]]="Female",137.5,0)</f>
        <v>0</v>
      </c>
      <c r="Y50" s="6">
        <f>IF(Table1[[#This Row],[Education]]="Bachelors +",55,0)</f>
        <v>0</v>
      </c>
      <c r="Z50" s="6">
        <f>IF(Table1[[#This Row],[Salary]]&gt;=600,82.5,0)</f>
        <v>0</v>
      </c>
    </row>
    <row r="51" spans="1:26">
      <c r="A51" s="3">
        <f>Table1[[#This Row],[SL No.]]</f>
        <v>50</v>
      </c>
      <c r="B51" t="str">
        <f>Table1[[#This Row],[Case manager]]</f>
        <v>Husain</v>
      </c>
      <c r="C51" t="str">
        <f>Table1[[#This Row],[Ref No]]</f>
        <v>JCP/24/096845</v>
      </c>
      <c r="D51" t="str">
        <f>Table1[[#This Row],[Name]]</f>
        <v>KARAR HUSAM ALI YATEEM</v>
      </c>
      <c r="E51" s="4">
        <f>'Placements 26'!F51</f>
        <v>45911</v>
      </c>
      <c r="F51" s="4" t="str">
        <f t="shared" ca="1" si="0"/>
        <v>Claimable</v>
      </c>
      <c r="G51" s="4" t="s">
        <v>171</v>
      </c>
      <c r="H51" s="4" t="s">
        <v>1155</v>
      </c>
      <c r="I51" s="4">
        <v>45931</v>
      </c>
      <c r="J51">
        <f>IF(Table3[[#This Row],[Placement Fee &amp; Variables]]&gt;0,0,1)</f>
        <v>0</v>
      </c>
      <c r="K51" s="4">
        <f>Table3[[#This Row],[Joining Date]]+180</f>
        <v>46091</v>
      </c>
      <c r="L51" t="str">
        <f t="shared" ca="1" si="2"/>
        <v/>
      </c>
      <c r="M51" s="4">
        <v>46093</v>
      </c>
      <c r="N51">
        <f ca="1">IF(Table3[[#This Row],[6M Stat]]="Claimable",1,0)</f>
        <v>0</v>
      </c>
      <c r="O51" s="4">
        <f>Table3[[#This Row],[Joining Date]]+365</f>
        <v>46276</v>
      </c>
      <c r="Q51" t="str">
        <f t="shared" ca="1" si="1"/>
        <v>Claimable</v>
      </c>
      <c r="R51">
        <f ca="1">IF(Table3[[#This Row],[12 M Stat]]="Claimable",1,0)</f>
        <v>1</v>
      </c>
      <c r="S51">
        <f ca="1">Table3[[#This Row],[Placement claim Highlight]]+Table3[[#This Row],[Highlight rule 6M]]+Table3[[#This Row],[Highlight rule 12 M]]</f>
        <v>1</v>
      </c>
      <c r="T51" s="6">
        <f>SUM(Table3[[#This Row],[Placement Fee]:[Salary]])</f>
        <v>192.5</v>
      </c>
      <c r="U51" s="6"/>
      <c r="V51" s="6">
        <f>IF(Table1[[#This Row],[MoL]]="Yes",55,0)</f>
        <v>55</v>
      </c>
      <c r="W51" s="6">
        <f>IF(Table1[[#This Row],[Long MoL +3 Years]]="Yes",137.5,0)</f>
        <v>137.5</v>
      </c>
      <c r="X51" s="6">
        <f>IF(Table1[[#This Row],[Gender]]="Female",137.5,0)</f>
        <v>0</v>
      </c>
      <c r="Y51" s="6">
        <f>IF(Table1[[#This Row],[Education]]="Bachelors +",55,0)</f>
        <v>0</v>
      </c>
      <c r="Z51" s="6">
        <f>IF(Table1[[#This Row],[Salary]]&gt;=600,82.5,0)</f>
        <v>0</v>
      </c>
    </row>
    <row r="52" spans="1:26">
      <c r="A52" s="3">
        <f>Table1[[#This Row],[SL No.]]</f>
        <v>51</v>
      </c>
      <c r="B52" t="str">
        <f>Table1[[#This Row],[Case manager]]</f>
        <v>Husain</v>
      </c>
      <c r="C52" t="str">
        <f>Table1[[#This Row],[Ref No]]</f>
        <v>JCP/25/225850</v>
      </c>
      <c r="D52" t="str">
        <f>Table1[[#This Row],[Name]]</f>
        <v>HASAN  FADHEL HASAN ISMAEEL  ALI</v>
      </c>
      <c r="E52" s="4">
        <f>'Placements 26'!F52</f>
        <v>45914</v>
      </c>
      <c r="F52" s="4" t="str">
        <f t="shared" ca="1" si="0"/>
        <v>Claimable</v>
      </c>
      <c r="G52" s="4" t="s">
        <v>171</v>
      </c>
      <c r="H52" s="4" t="s">
        <v>1159</v>
      </c>
      <c r="I52" s="4">
        <v>45915</v>
      </c>
      <c r="J52">
        <f>IF(Table3[[#This Row],[Placement Fee &amp; Variables]]&gt;0,0,1)</f>
        <v>0</v>
      </c>
      <c r="K52" s="4">
        <f>Table3[[#This Row],[Joining Date]]+180</f>
        <v>46094</v>
      </c>
      <c r="L52" t="str">
        <f t="shared" ca="1" si="2"/>
        <v/>
      </c>
      <c r="M52" s="4">
        <v>46096</v>
      </c>
      <c r="N52">
        <f ca="1">IF(Table3[[#This Row],[6M Stat]]="Claimable",1,0)</f>
        <v>0</v>
      </c>
      <c r="O52" s="4">
        <f>Table3[[#This Row],[Joining Date]]+365</f>
        <v>46279</v>
      </c>
      <c r="Q52" t="str">
        <f t="shared" ca="1" si="1"/>
        <v>Claimable</v>
      </c>
      <c r="R52">
        <f ca="1">IF(Table3[[#This Row],[12 M Stat]]="Claimable",1,0)</f>
        <v>1</v>
      </c>
      <c r="S52">
        <f ca="1">Table3[[#This Row],[Placement claim Highlight]]+Table3[[#This Row],[Highlight rule 6M]]+Table3[[#This Row],[Highlight rule 12 M]]</f>
        <v>1</v>
      </c>
      <c r="T52" s="6">
        <f>SUM(Table3[[#This Row],[Placement Fee]:[Salary]])</f>
        <v>55</v>
      </c>
      <c r="U52" s="6"/>
      <c r="V52" s="6">
        <f>IF(Table1[[#This Row],[MoL]]="Yes",55,0)</f>
        <v>0</v>
      </c>
      <c r="W52" s="6">
        <f>IF(Table1[[#This Row],[Long MoL +3 Years]]="Yes",137.5,0)</f>
        <v>0</v>
      </c>
      <c r="X52" s="6">
        <f>IF(Table1[[#This Row],[Gender]]="Female",137.5,0)</f>
        <v>0</v>
      </c>
      <c r="Y52" s="6">
        <f>IF(Table1[[#This Row],[Education]]="Bachelors +",55,0)</f>
        <v>55</v>
      </c>
      <c r="Z52" s="6">
        <f>IF(Table1[[#This Row],[Salary]]&gt;=600,82.5,0)</f>
        <v>0</v>
      </c>
    </row>
    <row r="53" spans="1:26">
      <c r="A53" s="3">
        <f>Table1[[#This Row],[SL No.]]</f>
        <v>52</v>
      </c>
      <c r="B53" t="str">
        <f>Table1[[#This Row],[Case manager]]</f>
        <v>Husain</v>
      </c>
      <c r="C53" t="str">
        <f>Table1[[#This Row],[Ref No]]</f>
        <v>JCP/25/173504</v>
      </c>
      <c r="D53" t="str">
        <f>Table1[[#This Row],[Name]]</f>
        <v>Shuaib hasan Rustam</v>
      </c>
      <c r="E53" s="4">
        <f>'Placements 26'!F53</f>
        <v>45739</v>
      </c>
      <c r="F53" s="4" t="str">
        <f t="shared" ca="1" si="0"/>
        <v>Claimed</v>
      </c>
      <c r="G53" s="4" t="s">
        <v>171</v>
      </c>
      <c r="H53" s="4" t="s">
        <v>1155</v>
      </c>
      <c r="I53" s="4">
        <v>45740</v>
      </c>
      <c r="J53">
        <f>IF(Table3[[#This Row],[Placement Fee &amp; Variables]]&gt;0,0,1)</f>
        <v>0</v>
      </c>
      <c r="K53" s="4">
        <f>Table3[[#This Row],[Joining Date]]+180</f>
        <v>45919</v>
      </c>
      <c r="L53" t="str">
        <f t="shared" ca="1" si="2"/>
        <v/>
      </c>
      <c r="M53" s="4">
        <v>45923</v>
      </c>
      <c r="N53">
        <f ca="1">IF(Table3[[#This Row],[6M Stat]]="Claimable",1,0)</f>
        <v>0</v>
      </c>
      <c r="O53" s="4">
        <f>Table3[[#This Row],[Joining Date]]+365</f>
        <v>46104</v>
      </c>
      <c r="P53" s="4">
        <v>46112</v>
      </c>
      <c r="Q53" t="str">
        <f t="shared" ca="1" si="1"/>
        <v/>
      </c>
      <c r="R53">
        <f ca="1">IF(Table3[[#This Row],[12 M Stat]]="Claimable",1,0)</f>
        <v>0</v>
      </c>
      <c r="S53">
        <f ca="1">Table3[[#This Row],[Placement claim Highlight]]+Table3[[#This Row],[Highlight rule 6M]]+Table3[[#This Row],[Highlight rule 12 M]]</f>
        <v>0</v>
      </c>
      <c r="T53" s="6">
        <f>SUM(Table3[[#This Row],[Placement Fee]:[Salary]])</f>
        <v>192.5</v>
      </c>
      <c r="U53" s="6"/>
      <c r="V53" s="6">
        <f>IF(Table1[[#This Row],[MoL]]="Yes",55,0)</f>
        <v>55</v>
      </c>
      <c r="W53" s="6">
        <f>IF(Table1[[#This Row],[Long MoL +3 Years]]="Yes",137.5,0)</f>
        <v>137.5</v>
      </c>
      <c r="X53" s="6">
        <f>IF(Table1[[#This Row],[Gender]]="Female",137.5,0)</f>
        <v>0</v>
      </c>
      <c r="Y53" s="6">
        <f>IF(Table1[[#This Row],[Education]]="Bachelors +",55,0)</f>
        <v>0</v>
      </c>
      <c r="Z53" s="6">
        <f>IF(Table1[[#This Row],[Salary]]&gt;=600,82.5,0)</f>
        <v>0</v>
      </c>
    </row>
    <row r="54" spans="1:26">
      <c r="A54" s="3">
        <f>Table1[[#This Row],[SL No.]]</f>
        <v>53</v>
      </c>
      <c r="B54" t="str">
        <f>Table1[[#This Row],[Case manager]]</f>
        <v>Husain</v>
      </c>
      <c r="C54" t="str">
        <f>Table1[[#This Row],[Ref No]]</f>
        <v>JCP/25/217425</v>
      </c>
      <c r="D54" t="str">
        <f>Table1[[#This Row],[Name]]</f>
        <v>ALI SALMAN HASAN ALI</v>
      </c>
      <c r="E54" s="4">
        <f>'Placements 26'!F54</f>
        <v>45922</v>
      </c>
      <c r="F54" s="4" t="str">
        <f t="shared" ca="1" si="0"/>
        <v>Claimable</v>
      </c>
      <c r="G54" s="4" t="s">
        <v>171</v>
      </c>
      <c r="H54" s="4" t="s">
        <v>1153</v>
      </c>
      <c r="I54" s="4">
        <v>45922</v>
      </c>
      <c r="J54">
        <f>IF(Table3[[#This Row],[Placement Fee &amp; Variables]]&gt;0,0,1)</f>
        <v>0</v>
      </c>
      <c r="K54" s="4">
        <f>Table3[[#This Row],[Joining Date]]+180</f>
        <v>46102</v>
      </c>
      <c r="L54" t="str">
        <f t="shared" ca="1" si="2"/>
        <v/>
      </c>
      <c r="M54" s="4">
        <v>46112</v>
      </c>
      <c r="N54">
        <f ca="1">IF(Table3[[#This Row],[6M Stat]]="Claimable",1,0)</f>
        <v>0</v>
      </c>
      <c r="O54" s="4">
        <f>Table3[[#This Row],[Joining Date]]+365</f>
        <v>46287</v>
      </c>
      <c r="Q54" t="str">
        <f t="shared" ca="1" si="1"/>
        <v>Claimable</v>
      </c>
      <c r="R54">
        <f ca="1">IF(Table3[[#This Row],[12 M Stat]]="Claimable",1,0)</f>
        <v>1</v>
      </c>
      <c r="S54">
        <f ca="1">Table3[[#This Row],[Placement claim Highlight]]+Table3[[#This Row],[Highlight rule 6M]]+Table3[[#This Row],[Highlight rule 12 M]]</f>
        <v>1</v>
      </c>
      <c r="T54" s="6">
        <f>SUM(Table3[[#This Row],[Placement Fee]:[Salary]])</f>
        <v>192.5</v>
      </c>
      <c r="U54" s="6"/>
      <c r="V54" s="6">
        <f>IF(Table1[[#This Row],[MoL]]="Yes",55,0)</f>
        <v>55</v>
      </c>
      <c r="W54" s="6">
        <f>IF(Table1[[#This Row],[Long MoL +3 Years]]="Yes",137.5,0)</f>
        <v>137.5</v>
      </c>
      <c r="X54" s="6">
        <f>IF(Table1[[#This Row],[Gender]]="Female",137.5,0)</f>
        <v>0</v>
      </c>
      <c r="Y54" s="6">
        <f>IF(Table1[[#This Row],[Education]]="Bachelors +",55,0)</f>
        <v>0</v>
      </c>
      <c r="Z54" s="6">
        <f>IF(Table1[[#This Row],[Salary]]&gt;=600,82.5,0)</f>
        <v>0</v>
      </c>
    </row>
    <row r="55" spans="1:26">
      <c r="A55" s="3">
        <f>Table1[[#This Row],[SL No.]]</f>
        <v>54</v>
      </c>
      <c r="B55" t="str">
        <f>Table1[[#This Row],[Case manager]]</f>
        <v>Husain</v>
      </c>
      <c r="C55" t="str">
        <f>Table1[[#This Row],[Ref No]]</f>
        <v xml:space="preserve"> JCP/24/047875</v>
      </c>
      <c r="D55" t="str">
        <f>Table1[[#This Row],[Name]]</f>
        <v>AMMAR SAYED YASER SAEED MOHAMED</v>
      </c>
      <c r="E55" s="4">
        <f>'Placements 26'!F55</f>
        <v>45922</v>
      </c>
      <c r="F55" s="4" t="str">
        <f t="shared" ca="1" si="0"/>
        <v>Claimable</v>
      </c>
      <c r="G55" s="4" t="s">
        <v>171</v>
      </c>
      <c r="H55" s="4" t="s">
        <v>1153</v>
      </c>
      <c r="I55" s="4">
        <v>45922</v>
      </c>
      <c r="J55">
        <f>IF(Table3[[#This Row],[Placement Fee &amp; Variables]]&gt;0,0,1)</f>
        <v>0</v>
      </c>
      <c r="K55" s="4">
        <f>Table3[[#This Row],[Joining Date]]+180</f>
        <v>46102</v>
      </c>
      <c r="L55" t="str">
        <f t="shared" ca="1" si="2"/>
        <v/>
      </c>
      <c r="M55" s="4">
        <v>46112</v>
      </c>
      <c r="N55">
        <f ca="1">IF(Table3[[#This Row],[6M Stat]]="Claimable",1,0)</f>
        <v>0</v>
      </c>
      <c r="O55" s="4">
        <f>Table3[[#This Row],[Joining Date]]+365</f>
        <v>46287</v>
      </c>
      <c r="Q55" t="str">
        <f t="shared" ca="1" si="1"/>
        <v>Claimable</v>
      </c>
      <c r="R55">
        <f ca="1">IF(Table3[[#This Row],[12 M Stat]]="Claimable",1,0)</f>
        <v>1</v>
      </c>
      <c r="S55">
        <f ca="1">Table3[[#This Row],[Placement claim Highlight]]+Table3[[#This Row],[Highlight rule 6M]]+Table3[[#This Row],[Highlight rule 12 M]]</f>
        <v>1</v>
      </c>
      <c r="T55" s="6">
        <f>SUM(Table3[[#This Row],[Placement Fee]:[Salary]])</f>
        <v>330</v>
      </c>
      <c r="U55" s="6"/>
      <c r="V55" s="6">
        <f>IF(Table1[[#This Row],[MoL]]="Yes",55,0)</f>
        <v>55</v>
      </c>
      <c r="W55" s="6">
        <f>IF(Table1[[#This Row],[Long MoL +3 Years]]="Yes",137.5,0)</f>
        <v>137.5</v>
      </c>
      <c r="X55" s="6">
        <f>IF(Table1[[#This Row],[Gender]]="Female",137.5,0)</f>
        <v>0</v>
      </c>
      <c r="Y55" s="6">
        <f>IF(Table1[[#This Row],[Education]]="Bachelors +",55,0)</f>
        <v>55</v>
      </c>
      <c r="Z55" s="6">
        <f>IF(Table1[[#This Row],[Salary]]&gt;=600,82.5,0)</f>
        <v>82.5</v>
      </c>
    </row>
    <row r="56" spans="1:26">
      <c r="A56" s="3">
        <f>Table1[[#This Row],[SL No.]]</f>
        <v>55</v>
      </c>
      <c r="B56" t="str">
        <f>Table1[[#This Row],[Case manager]]</f>
        <v>Meaad</v>
      </c>
      <c r="C56" t="str">
        <f>Table1[[#This Row],[Ref No]]</f>
        <v>JCP/25/229307</v>
      </c>
      <c r="D56" t="str">
        <f>Table1[[#This Row],[Name]]</f>
        <v>Bader Abdulnabi Ebrahim</v>
      </c>
      <c r="E56" s="51">
        <f>'Placements 26'!F56</f>
        <v>45921</v>
      </c>
      <c r="F56" s="4" t="str">
        <f t="shared" ca="1" si="0"/>
        <v>Claimable</v>
      </c>
      <c r="G56" s="4" t="s">
        <v>171</v>
      </c>
      <c r="H56" s="39" t="s">
        <v>1153</v>
      </c>
      <c r="I56" s="43">
        <v>45924</v>
      </c>
      <c r="J56">
        <f>IF(Table3[[#This Row],[Placement Fee &amp; Variables]]&gt;0,0,1)</f>
        <v>0</v>
      </c>
      <c r="K56" s="4">
        <f>Table3[[#This Row],[Joining Date]]+180</f>
        <v>46101</v>
      </c>
      <c r="L56" t="str">
        <f t="shared" ca="1" si="2"/>
        <v/>
      </c>
      <c r="M56" s="4">
        <v>46092</v>
      </c>
      <c r="N56">
        <f ca="1">IF(Table3[[#This Row],[6M Stat]]="Claimable",1,0)</f>
        <v>0</v>
      </c>
      <c r="O56" s="4">
        <f>Table3[[#This Row],[Joining Date]]+365</f>
        <v>46286</v>
      </c>
      <c r="Q56" t="str">
        <f t="shared" ca="1" si="1"/>
        <v>Claimable</v>
      </c>
      <c r="R56">
        <f ca="1">IF(Table3[[#This Row],[12 M Stat]]="Claimable",1,0)</f>
        <v>1</v>
      </c>
      <c r="S56">
        <f ca="1">Table3[[#This Row],[Placement claim Highlight]]+Table3[[#This Row],[Highlight rule 6M]]+Table3[[#This Row],[Highlight rule 12 M]]</f>
        <v>1</v>
      </c>
      <c r="T56" s="6">
        <f>SUM(Table3[[#This Row],[Placement Fee]:[Salary]])</f>
        <v>247.5</v>
      </c>
      <c r="U56" s="6"/>
      <c r="V56" s="6">
        <f>IF(Table1[[#This Row],[MoL]]="Yes",55,0)</f>
        <v>55</v>
      </c>
      <c r="W56" s="6">
        <f>IF(Table1[[#This Row],[Long MoL +3 Years]]="Yes",137.5,0)</f>
        <v>137.5</v>
      </c>
      <c r="X56" s="6">
        <f>IF(Table1[[#This Row],[Gender]]="Female",137.5,0)</f>
        <v>0</v>
      </c>
      <c r="Y56" s="6">
        <f>IF(Table1[[#This Row],[Education]]="Bachelors +",55,0)</f>
        <v>55</v>
      </c>
      <c r="Z56" s="6">
        <f>IF(Table1[[#This Row],[Salary]]&gt;=600,82.5,0)</f>
        <v>0</v>
      </c>
    </row>
    <row r="57" spans="1:26">
      <c r="A57" s="3">
        <f>Table1[[#This Row],[SL No.]]</f>
        <v>56</v>
      </c>
      <c r="B57" t="str">
        <f>Table1[[#This Row],[Case manager]]</f>
        <v>Meaad</v>
      </c>
      <c r="C57" t="str">
        <f>Table1[[#This Row],[Ref No]]</f>
        <v>JCP/25/174221</v>
      </c>
      <c r="D57" t="str">
        <f>Table1[[#This Row],[Name]]</f>
        <v>فاطمه حسن الليث</v>
      </c>
      <c r="E57" s="51">
        <f>'Placements 26'!F57</f>
        <v>45921</v>
      </c>
      <c r="F57" s="4" t="str">
        <f t="shared" ca="1" si="0"/>
        <v>Claimed</v>
      </c>
      <c r="G57" s="4" t="s">
        <v>171</v>
      </c>
      <c r="H57" s="4"/>
      <c r="I57" s="43">
        <v>45924</v>
      </c>
      <c r="J57">
        <f>IF(Table3[[#This Row],[Placement Fee &amp; Variables]]&gt;0,0,1)</f>
        <v>0</v>
      </c>
      <c r="K57" s="4">
        <f>Table3[[#This Row],[Joining Date]]+180</f>
        <v>46101</v>
      </c>
      <c r="L57" t="str">
        <f t="shared" ca="1" si="2"/>
        <v/>
      </c>
      <c r="M57" s="4">
        <v>46092</v>
      </c>
      <c r="N57">
        <f ca="1">IF(Table3[[#This Row],[6M Stat]]="Claimable",1,0)</f>
        <v>0</v>
      </c>
      <c r="O57" s="4">
        <f>Table3[[#This Row],[Joining Date]]+365</f>
        <v>46286</v>
      </c>
      <c r="P57" s="4">
        <v>46286</v>
      </c>
      <c r="Q57" t="str">
        <f t="shared" ca="1" si="1"/>
        <v/>
      </c>
      <c r="R57">
        <f ca="1">IF(Table3[[#This Row],[12 M Stat]]="Claimable",1,0)</f>
        <v>0</v>
      </c>
      <c r="S57">
        <f ca="1">Table3[[#This Row],[Placement claim Highlight]]+Table3[[#This Row],[Highlight rule 6M]]+Table3[[#This Row],[Highlight rule 12 M]]</f>
        <v>0</v>
      </c>
      <c r="T57" s="6">
        <f>SUM(Table3[[#This Row],[Placement Fee]:[Salary]])</f>
        <v>192.5</v>
      </c>
      <c r="U57" s="6"/>
      <c r="V57" s="6">
        <f>IF(Table1[[#This Row],[MoL]]="Yes",55,0)</f>
        <v>0</v>
      </c>
      <c r="W57" s="6">
        <f>IF(Table1[[#This Row],[Long MoL +3 Years]]="Yes",137.5,0)</f>
        <v>0</v>
      </c>
      <c r="X57" s="6">
        <f>IF(Table1[[#This Row],[Gender]]="Female",137.5,0)</f>
        <v>137.5</v>
      </c>
      <c r="Y57" s="6">
        <f>IF(Table1[[#This Row],[Education]]="Bachelors +",55,0)</f>
        <v>55</v>
      </c>
      <c r="Z57" s="6">
        <f>IF(Table1[[#This Row],[Salary]]&gt;=600,82.5,0)</f>
        <v>0</v>
      </c>
    </row>
    <row r="58" spans="1:26">
      <c r="A58" s="3">
        <f>Table1[[#This Row],[SL No.]]</f>
        <v>57</v>
      </c>
      <c r="B58" t="str">
        <f>Table1[[#This Row],[Case manager]]</f>
        <v>Husain</v>
      </c>
      <c r="C58" t="str">
        <f>Table1[[#This Row],[Ref No]]</f>
        <v>JCP/25/180485</v>
      </c>
      <c r="D58" t="str">
        <f>Table1[[#This Row],[Name]]</f>
        <v>ساره ساتر</v>
      </c>
      <c r="E58" s="4">
        <f>'Placements 26'!F58</f>
        <v>45740</v>
      </c>
      <c r="F58" s="4" t="str">
        <f t="shared" ca="1" si="0"/>
        <v>Claimed</v>
      </c>
      <c r="G58" s="4" t="s">
        <v>171</v>
      </c>
      <c r="H58" s="39" t="s">
        <v>1153</v>
      </c>
      <c r="I58" s="4">
        <v>45743</v>
      </c>
      <c r="J58">
        <f>IF(Table3[[#This Row],[Placement Fee &amp; Variables]]&gt;0,0,1)</f>
        <v>0</v>
      </c>
      <c r="K58" s="4">
        <f>Table3[[#This Row],[Joining Date]]+180</f>
        <v>45920</v>
      </c>
      <c r="L58" t="str">
        <f t="shared" ca="1" si="2"/>
        <v/>
      </c>
      <c r="M58" s="4">
        <v>45924</v>
      </c>
      <c r="N58">
        <f ca="1">IF(Table3[[#This Row],[6M Stat]]="Claimable",1,0)</f>
        <v>0</v>
      </c>
      <c r="O58" s="4">
        <f>Table3[[#This Row],[Joining Date]]+365</f>
        <v>46105</v>
      </c>
      <c r="P58" s="4">
        <v>46112</v>
      </c>
      <c r="Q58" t="str">
        <f t="shared" ca="1" si="1"/>
        <v/>
      </c>
      <c r="R58">
        <f ca="1">IF(Table3[[#This Row],[12 M Stat]]="Claimable",1,0)</f>
        <v>0</v>
      </c>
      <c r="S58">
        <f ca="1">Table3[[#This Row],[Placement claim Highlight]]+Table3[[#This Row],[Highlight rule 6M]]+Table3[[#This Row],[Highlight rule 12 M]]</f>
        <v>0</v>
      </c>
      <c r="T58" s="6">
        <f>SUM(Table3[[#This Row],[Placement Fee]:[Salary]])</f>
        <v>385</v>
      </c>
      <c r="U58" s="6"/>
      <c r="V58" s="6">
        <f>IF(Table1[[#This Row],[MoL]]="Yes",55,0)</f>
        <v>55</v>
      </c>
      <c r="W58" s="6">
        <f>IF(Table1[[#This Row],[Long MoL +3 Years]]="Yes",137.5,0)</f>
        <v>137.5</v>
      </c>
      <c r="X58" s="6">
        <f>IF(Table1[[#This Row],[Gender]]="Female",137.5,0)</f>
        <v>137.5</v>
      </c>
      <c r="Y58" s="6">
        <f>IF(Table1[[#This Row],[Education]]="Bachelors +",55,0)</f>
        <v>55</v>
      </c>
      <c r="Z58" s="6">
        <f>IF(Table1[[#This Row],[Salary]]&gt;=600,82.5,0)</f>
        <v>0</v>
      </c>
    </row>
    <row r="59" spans="1:26">
      <c r="A59" s="3">
        <f>Table1[[#This Row],[SL No.]]</f>
        <v>58</v>
      </c>
      <c r="C59" t="str">
        <f>Table1[[#This Row],[Ref No]]</f>
        <v xml:space="preserve">JCP/25/194119
</v>
      </c>
      <c r="D59" t="str">
        <f>Table1[[#This Row],[Name]]</f>
        <v>MAHDI MOHAMED MAHDI ALI</v>
      </c>
      <c r="E59" s="4">
        <f>'Placements 26'!F59</f>
        <v>45792</v>
      </c>
      <c r="F59" s="4" t="str">
        <f t="shared" ca="1" si="0"/>
        <v>Claimable</v>
      </c>
      <c r="G59" s="4" t="s">
        <v>171</v>
      </c>
      <c r="H59" s="39" t="s">
        <v>1153</v>
      </c>
      <c r="I59" s="4">
        <v>45792</v>
      </c>
      <c r="J59">
        <f>IF(Table3[[#This Row],[Placement Fee &amp; Variables]]&gt;0,0,1)</f>
        <v>0</v>
      </c>
      <c r="K59" s="4">
        <f>Table3[[#This Row],[Joining Date]]+180</f>
        <v>45972</v>
      </c>
      <c r="L59" t="str">
        <f t="shared" ca="1" si="2"/>
        <v/>
      </c>
      <c r="M59" s="4">
        <v>45998</v>
      </c>
      <c r="N59">
        <f ca="1">IF(Table3[[#This Row],[6M Stat]]="Claimable",1,0)</f>
        <v>0</v>
      </c>
      <c r="O59" s="4">
        <f>Table3[[#This Row],[Joining Date]]+365</f>
        <v>46157</v>
      </c>
      <c r="Q59" t="str">
        <f t="shared" ca="1" si="1"/>
        <v>Claimable</v>
      </c>
      <c r="R59">
        <f ca="1">IF(Table3[[#This Row],[12 M Stat]]="Claimable",1,0)</f>
        <v>1</v>
      </c>
      <c r="S59">
        <f ca="1">Table3[[#This Row],[Placement claim Highlight]]+Table3[[#This Row],[Highlight rule 6M]]+Table3[[#This Row],[Highlight rule 12 M]]</f>
        <v>1</v>
      </c>
      <c r="T59" s="6">
        <f>SUM(Table3[[#This Row],[Placement Fee]:[Salary]])</f>
        <v>0</v>
      </c>
      <c r="U59" s="6"/>
      <c r="V59" s="6">
        <f>IF(Table1[[#This Row],[MoL]]="Yes",55,0)</f>
        <v>0</v>
      </c>
      <c r="W59" s="6">
        <f>IF(Table1[[#This Row],[Long MoL +3 Years]]="Yes",137.5,0)</f>
        <v>0</v>
      </c>
      <c r="X59" s="6">
        <f>IF(Table1[[#This Row],[Gender]]="Female",137.5,0)</f>
        <v>0</v>
      </c>
      <c r="Y59" s="6">
        <f>IF(Table1[[#This Row],[Education]]="Bachelors +",55,0)</f>
        <v>0</v>
      </c>
      <c r="Z59" s="6">
        <f>IF(Table1[[#This Row],[Salary]]&gt;=600,82.5,0)</f>
        <v>0</v>
      </c>
    </row>
    <row r="60" spans="1:26">
      <c r="A60" s="3">
        <f>Table1[[#This Row],[SL No.]]</f>
        <v>59</v>
      </c>
      <c r="B60" t="str">
        <f>Table1[[#This Row],[Case manager]]</f>
        <v>Malak</v>
      </c>
      <c r="C60" t="str">
        <f>Table1[[#This Row],[Ref No]]</f>
        <v>JCP/25/178761</v>
      </c>
      <c r="D60" t="str">
        <f>Table1[[#This Row],[Name]]</f>
        <v>MAJED MOHAMED ALI MOHSEN ZABAR</v>
      </c>
      <c r="E60" s="4">
        <f>'Placements 26'!F60</f>
        <v>45922</v>
      </c>
      <c r="F60" s="4" t="str">
        <f t="shared" ca="1" si="0"/>
        <v>Claimable</v>
      </c>
      <c r="G60" s="4" t="s">
        <v>171</v>
      </c>
      <c r="H60" s="4" t="s">
        <v>1153</v>
      </c>
      <c r="I60" s="4">
        <v>45728</v>
      </c>
      <c r="J60">
        <f>IF(Table3[[#This Row],[Placement Fee &amp; Variables]]&gt;0,0,1)</f>
        <v>0</v>
      </c>
      <c r="K60" s="4">
        <f>Table3[[#This Row],[Joining Date]]+180</f>
        <v>46102</v>
      </c>
      <c r="L60" t="str">
        <f t="shared" ca="1" si="2"/>
        <v/>
      </c>
      <c r="M60" s="44">
        <v>46112</v>
      </c>
      <c r="N60">
        <f ca="1">IF(Table3[[#This Row],[6M Stat]]="Claimable",1,0)</f>
        <v>0</v>
      </c>
      <c r="O60" s="4">
        <f>Table3[[#This Row],[Joining Date]]+365</f>
        <v>46287</v>
      </c>
      <c r="Q60" t="str">
        <f t="shared" ca="1" si="1"/>
        <v>Claimable</v>
      </c>
      <c r="R60">
        <f ca="1">IF(Table3[[#This Row],[12 M Stat]]="Claimable",1,0)</f>
        <v>1</v>
      </c>
      <c r="S60">
        <f ca="1">Table3[[#This Row],[Placement claim Highlight]]+Table3[[#This Row],[Highlight rule 6M]]+Table3[[#This Row],[Highlight rule 12 M]]</f>
        <v>1</v>
      </c>
      <c r="T60" s="6">
        <f>SUM(Table3[[#This Row],[Placement Fee]:[Salary]])</f>
        <v>137.5</v>
      </c>
      <c r="U60" s="6"/>
      <c r="V60" s="6">
        <f>IF(Table1[[#This Row],[MoL]]="Yes",55,0)</f>
        <v>55</v>
      </c>
      <c r="W60" s="6">
        <f>IF(Table1[[#This Row],[Long MoL +3 Years]]="Yes",137.5,0)</f>
        <v>0</v>
      </c>
      <c r="X60" s="6">
        <f>IF(Table1[[#This Row],[Gender]]="Female",137.5,0)</f>
        <v>0</v>
      </c>
      <c r="Y60" s="6">
        <f>IF(Table1[[#This Row],[Education]]="Bachelors +",55,0)</f>
        <v>0</v>
      </c>
      <c r="Z60" s="6">
        <f>IF(Table1[[#This Row],[Salary]]&gt;=600,82.5,0)</f>
        <v>82.5</v>
      </c>
    </row>
    <row r="61" spans="1:26">
      <c r="A61" s="3">
        <f>Table1[[#This Row],[SL No.]]</f>
        <v>60</v>
      </c>
      <c r="B61" t="str">
        <f>Table1[[#This Row],[Case manager]]</f>
        <v>Zainab Mattar</v>
      </c>
      <c r="C61" t="str">
        <f>Table1[[#This Row],[Ref No]]</f>
        <v>JCP/25/231016</v>
      </c>
      <c r="D61" t="str">
        <f>Table1[[#This Row],[Name]]</f>
        <v>No Placement Recorded</v>
      </c>
      <c r="E61" s="4">
        <f>'Placements 26'!F61</f>
        <v>45668</v>
      </c>
      <c r="F61" s="4" t="str">
        <f t="shared" ca="1" si="0"/>
        <v>Claimable</v>
      </c>
      <c r="G61" s="4" t="s">
        <v>171</v>
      </c>
      <c r="H61" s="4"/>
      <c r="J61">
        <f>IF(Table3[[#This Row],[Placement Fee &amp; Variables]]&gt;0,0,1)</f>
        <v>1</v>
      </c>
      <c r="K61" s="4">
        <f>Table3[[#This Row],[Joining Date]]+180</f>
        <v>45848</v>
      </c>
      <c r="L61" t="str">
        <f t="shared" ca="1" si="2"/>
        <v>Claimable</v>
      </c>
      <c r="N61">
        <f ca="1">IF(Table3[[#This Row],[6M Stat]]="Claimable",1,0)</f>
        <v>1</v>
      </c>
      <c r="O61" s="4">
        <f>Table3[[#This Row],[Joining Date]]+365</f>
        <v>46033</v>
      </c>
      <c r="Q61" t="str">
        <f t="shared" ca="1" si="1"/>
        <v>Claimable</v>
      </c>
      <c r="R61">
        <f ca="1">IF(Table3[[#This Row],[12 M Stat]]="Claimable",1,0)</f>
        <v>1</v>
      </c>
      <c r="S61">
        <f ca="1">Table3[[#This Row],[Placement claim Highlight]]+Table3[[#This Row],[Highlight rule 6M]]+Table3[[#This Row],[Highlight rule 12 M]]</f>
        <v>3</v>
      </c>
      <c r="T61" s="6">
        <f>SUM(Table3[[#This Row],[Placement Fee]:[Salary]])</f>
        <v>0</v>
      </c>
      <c r="U61" s="6"/>
      <c r="V61" s="6">
        <f>IF(Table1[[#This Row],[MoL]]="Yes",55,0)</f>
        <v>0</v>
      </c>
      <c r="W61" s="6">
        <f>IF(Table1[[#This Row],[Long MoL +3 Years]]="Yes",137.5,0)</f>
        <v>0</v>
      </c>
      <c r="X61" s="6">
        <f>IF(Table1[[#This Row],[Gender]]="Female",137.5,0)</f>
        <v>0</v>
      </c>
      <c r="Y61" s="6">
        <f>IF(Table1[[#This Row],[Education]]="Bachelors +",55,0)</f>
        <v>0</v>
      </c>
      <c r="Z61" s="6">
        <f>IF(Table1[[#This Row],[Salary]]&gt;=600,82.5,0)</f>
        <v>0</v>
      </c>
    </row>
    <row r="62" spans="1:26">
      <c r="A62" s="3">
        <f>Table1[[#This Row],[SL No.]]</f>
        <v>61</v>
      </c>
      <c r="B62" t="str">
        <f>Table1[[#This Row],[Case manager]]</f>
        <v>Meaad</v>
      </c>
      <c r="C62" t="str">
        <f>Table1[[#This Row],[Ref No]]</f>
        <v>JCP/25/190585</v>
      </c>
      <c r="D62" t="str">
        <f>Table1[[#This Row],[Name]]</f>
        <v>ZAINAB MOHAMED GHULOOM ALI</v>
      </c>
      <c r="E62" s="4">
        <f>'Placements 26'!F62</f>
        <v>45811</v>
      </c>
      <c r="F62" s="4" t="str">
        <f t="shared" ca="1" si="0"/>
        <v>Claimed</v>
      </c>
      <c r="G62" s="4" t="s">
        <v>171</v>
      </c>
      <c r="H62" s="4" t="s">
        <v>1153</v>
      </c>
      <c r="I62" s="4">
        <v>46176</v>
      </c>
      <c r="J62">
        <f>IF(Table3[[#This Row],[Placement Fee &amp; Variables]]&gt;0,0,1)</f>
        <v>0</v>
      </c>
      <c r="K62" s="4">
        <f>Table3[[#This Row],[Joining Date]]+180</f>
        <v>45991</v>
      </c>
      <c r="L62" t="str">
        <f t="shared" ca="1" si="2"/>
        <v/>
      </c>
      <c r="M62" s="4">
        <v>45998</v>
      </c>
      <c r="N62">
        <f ca="1">IF(Table3[[#This Row],[6M Stat]]="Claimable",1,0)</f>
        <v>0</v>
      </c>
      <c r="O62" s="4">
        <f>Table3[[#This Row],[Joining Date]]+365</f>
        <v>46176</v>
      </c>
      <c r="P62" s="116">
        <v>46245</v>
      </c>
      <c r="Q62" t="str">
        <f t="shared" ca="1" si="1"/>
        <v/>
      </c>
      <c r="R62">
        <f ca="1">IF(Table3[[#This Row],[12 M Stat]]="Claimable",1,0)</f>
        <v>0</v>
      </c>
      <c r="S62">
        <f ca="1">Table3[[#This Row],[Placement claim Highlight]]+Table3[[#This Row],[Highlight rule 6M]]+Table3[[#This Row],[Highlight rule 12 M]]</f>
        <v>0</v>
      </c>
      <c r="T62" s="6">
        <f>SUM(Table3[[#This Row],[Placement Fee]:[Salary]])</f>
        <v>247.5</v>
      </c>
      <c r="U62" s="6"/>
      <c r="V62" s="6">
        <f>IF(Table1[[#This Row],[MoL]]="Yes",55,0)</f>
        <v>55</v>
      </c>
      <c r="W62" s="6">
        <f>IF(Table1[[#This Row],[Long MoL +3 Years]]="Yes",137.5,0)</f>
        <v>0</v>
      </c>
      <c r="X62" s="6">
        <f>IF(Table1[[#This Row],[Gender]]="Female",137.5,0)</f>
        <v>137.5</v>
      </c>
      <c r="Y62" s="6">
        <f>IF(Table1[[#This Row],[Education]]="Bachelors +",55,0)</f>
        <v>55</v>
      </c>
      <c r="Z62" s="6">
        <f>IF(Table1[[#This Row],[Salary]]&gt;=600,82.5,0)</f>
        <v>0</v>
      </c>
    </row>
    <row r="63" spans="1:26">
      <c r="A63" s="3">
        <f>Table1[[#This Row],[SL No.]]</f>
        <v>62</v>
      </c>
      <c r="B63" t="str">
        <f>Table1[[#This Row],[Case manager]]</f>
        <v>Husain</v>
      </c>
      <c r="C63" t="str">
        <f>Table1[[#This Row],[Ref No]]</f>
        <v>JCP/26/288742</v>
      </c>
      <c r="D63" t="str">
        <f>Table1[[#This Row],[Name]]</f>
        <v>SAKINA ALI</v>
      </c>
      <c r="E63" s="4">
        <f>'Placements 26'!F63</f>
        <v>46095</v>
      </c>
      <c r="F63" s="4" t="str">
        <f t="shared" ca="1" si="0"/>
        <v>Claimable</v>
      </c>
      <c r="G63" s="4" t="s">
        <v>171</v>
      </c>
      <c r="H63" s="4"/>
      <c r="I63" s="4">
        <v>46129</v>
      </c>
      <c r="J63">
        <f>IF(Table3[[#This Row],[Placement Fee &amp; Variables]]&gt;0,0,1)</f>
        <v>0</v>
      </c>
      <c r="K63" s="4">
        <f>Table3[[#This Row],[Joining Date]]+180</f>
        <v>46275</v>
      </c>
      <c r="L63" t="str">
        <f t="shared" ca="1" si="2"/>
        <v>Claimable</v>
      </c>
      <c r="N63">
        <f ca="1">IF(Table3[[#This Row],[6M Stat]]="Claimable",1,0)</f>
        <v>1</v>
      </c>
      <c r="O63" s="4">
        <f>Table3[[#This Row],[Joining Date]]+365</f>
        <v>46460</v>
      </c>
      <c r="Q63" t="str">
        <f t="shared" ca="1" si="1"/>
        <v/>
      </c>
      <c r="R63">
        <f ca="1">IF(Table3[[#This Row],[12 M Stat]]="Claimable",1,0)</f>
        <v>0</v>
      </c>
      <c r="S63">
        <f ca="1">Table3[[#This Row],[Placement claim Highlight]]+Table3[[#This Row],[Highlight rule 6M]]+Table3[[#This Row],[Highlight rule 12 M]]</f>
        <v>1</v>
      </c>
      <c r="T63" s="6">
        <f>SUM(Table3[[#This Row],[Placement Fee]:[Salary]])</f>
        <v>137.5</v>
      </c>
      <c r="U63" s="6"/>
      <c r="V63" s="6">
        <f>IF(Table1[[#This Row],[MoL]]="Yes",55,0)</f>
        <v>0</v>
      </c>
      <c r="W63" s="6">
        <f>IF(Table1[[#This Row],[Long MoL +3 Years]]="Yes",137.5,0)</f>
        <v>0</v>
      </c>
      <c r="X63" s="6">
        <f>IF(Table1[[#This Row],[Gender]]="Female",137.5,0)</f>
        <v>137.5</v>
      </c>
      <c r="Y63" s="6">
        <f>IF(Table1[[#This Row],[Education]]="Bachelors +",55,0)</f>
        <v>0</v>
      </c>
      <c r="Z63" s="6">
        <f>IF(Table1[[#This Row],[Salary]]&gt;=600,82.5,0)</f>
        <v>0</v>
      </c>
    </row>
    <row r="64" spans="1:26">
      <c r="A64" s="3">
        <f>Table1[[#This Row],[SL No.]]</f>
        <v>63</v>
      </c>
      <c r="B64" t="str">
        <f>Table1[[#This Row],[Case manager]]</f>
        <v>Husain</v>
      </c>
      <c r="C64" t="str">
        <f>Table1[[#This Row],[Ref No]]</f>
        <v>JCP/26/288724</v>
      </c>
      <c r="D64" t="str">
        <f>Table1[[#This Row],[Name]]</f>
        <v>السيد جعفر ناصر</v>
      </c>
      <c r="E64" s="4">
        <f>'Placements 26'!F64</f>
        <v>46095</v>
      </c>
      <c r="F64" s="4" t="str">
        <f t="shared" ca="1" si="0"/>
        <v>Claimable</v>
      </c>
      <c r="G64" s="4" t="s">
        <v>171</v>
      </c>
      <c r="H64" s="4"/>
      <c r="I64" s="4">
        <v>46129</v>
      </c>
      <c r="J64">
        <f>IF(Table3[[#This Row],[Placement Fee &amp; Variables]]&gt;0,0,1)</f>
        <v>0</v>
      </c>
      <c r="K64" s="4">
        <f>Table3[[#This Row],[Joining Date]]+180</f>
        <v>46275</v>
      </c>
      <c r="L64" t="str">
        <f t="shared" ca="1" si="2"/>
        <v>Claimable</v>
      </c>
      <c r="N64">
        <f ca="1">IF(Table3[[#This Row],[6M Stat]]="Claimable",1,0)</f>
        <v>1</v>
      </c>
      <c r="O64" s="4">
        <f>Table3[[#This Row],[Joining Date]]+365</f>
        <v>46460</v>
      </c>
      <c r="Q64" t="str">
        <f t="shared" ca="1" si="1"/>
        <v/>
      </c>
      <c r="R64">
        <f ca="1">IF(Table3[[#This Row],[12 M Stat]]="Claimable",1,0)</f>
        <v>0</v>
      </c>
      <c r="S64">
        <f ca="1">Table3[[#This Row],[Placement claim Highlight]]+Table3[[#This Row],[Highlight rule 6M]]+Table3[[#This Row],[Highlight rule 12 M]]</f>
        <v>1</v>
      </c>
      <c r="T64" s="6">
        <f>SUM(Table3[[#This Row],[Placement Fee]:[Salary]])</f>
        <v>0</v>
      </c>
      <c r="U64" s="6"/>
      <c r="V64" s="6">
        <f>IF(Table1[[#This Row],[MoL]]="Yes",55,0)</f>
        <v>0</v>
      </c>
      <c r="W64" s="6">
        <f>IF(Table1[[#This Row],[Long MoL +3 Years]]="Yes",137.5,0)</f>
        <v>0</v>
      </c>
      <c r="X64" s="6">
        <f>IF(Table1[[#This Row],[Gender]]="Female",137.5,0)</f>
        <v>0</v>
      </c>
      <c r="Y64" s="6">
        <f>IF(Table1[[#This Row],[Education]]="Bachelors +",55,0)</f>
        <v>0</v>
      </c>
      <c r="Z64" s="6">
        <f>IF(Table1[[#This Row],[Salary]]&gt;=600,82.5,0)</f>
        <v>0</v>
      </c>
    </row>
    <row r="65" spans="1:26">
      <c r="A65" s="3">
        <f>Table1[[#This Row],[SL No.]]</f>
        <v>64</v>
      </c>
      <c r="B65" t="str">
        <f>Table1[[#This Row],[Case manager]]</f>
        <v>Meaad</v>
      </c>
      <c r="C65" t="str">
        <f>Table1[[#This Row],[Ref No]]</f>
        <v>JCP/25/195286</v>
      </c>
      <c r="D65" t="str">
        <f>Table1[[#This Row],[Name]]</f>
        <v>HASAN AQEEL ALI HASAN ALJESHI</v>
      </c>
      <c r="E65" s="4">
        <f>'Placements 26'!F65</f>
        <v>45819</v>
      </c>
      <c r="F65" s="4" t="str">
        <f t="shared" ref="F65:F97" ca="1" si="3">IF(S65&gt;=1,"Claimable","Claimed")</f>
        <v>Claimed</v>
      </c>
      <c r="G65" s="4" t="s">
        <v>38</v>
      </c>
      <c r="H65" s="4" t="s">
        <v>1153</v>
      </c>
      <c r="I65" s="4">
        <v>45819</v>
      </c>
      <c r="J65">
        <f>IF(Table3[[#This Row],[Placement Fee &amp; Variables]]&gt;0,0,1)</f>
        <v>0</v>
      </c>
      <c r="K65" s="4">
        <f>Table3[[#This Row],[Joining Date]]+180</f>
        <v>45999</v>
      </c>
      <c r="L65" t="str">
        <f t="shared" ca="1" si="2"/>
        <v/>
      </c>
      <c r="M65" s="4">
        <v>45998</v>
      </c>
      <c r="N65">
        <f ca="1">IF(Table3[[#This Row],[6M Stat]]="Claimable",1,0)</f>
        <v>0</v>
      </c>
      <c r="O65" s="4">
        <f>Table3[[#This Row],[Joining Date]]+365</f>
        <v>46184</v>
      </c>
      <c r="P65" s="116">
        <v>46245</v>
      </c>
      <c r="Q65" t="str">
        <f t="shared" ca="1" si="1"/>
        <v/>
      </c>
      <c r="R65">
        <f ca="1">IF(Table3[[#This Row],[12 M Stat]]="Claimable",1,0)</f>
        <v>0</v>
      </c>
      <c r="S65">
        <f ca="1">Table3[[#This Row],[Placement claim Highlight]]+Table3[[#This Row],[Highlight rule 6M]]+Table3[[#This Row],[Highlight rule 12 M]]</f>
        <v>0</v>
      </c>
      <c r="T65" s="6">
        <f>SUM(Table3[[#This Row],[Placement Fee]:[Salary]])</f>
        <v>55</v>
      </c>
      <c r="U65" s="6"/>
      <c r="V65" s="6">
        <f>IF(Table1[[#This Row],[MoL]]="Yes",55,0)</f>
        <v>55</v>
      </c>
      <c r="W65" s="6">
        <f>IF(Table1[[#This Row],[Long MoL +3 Years]]="Yes",137.5,0)</f>
        <v>0</v>
      </c>
      <c r="X65" s="6">
        <f>IF(Table1[[#This Row],[Gender]]="Female",137.5,0)</f>
        <v>0</v>
      </c>
      <c r="Y65" s="6">
        <f>IF(Table1[[#This Row],[Education]]="Bachelors +",55,0)</f>
        <v>0</v>
      </c>
      <c r="Z65" s="6">
        <f>IF(Table1[[#This Row],[Salary]]&gt;=600,82.5,0)</f>
        <v>0</v>
      </c>
    </row>
    <row r="66" spans="1:26">
      <c r="A66" s="3">
        <f>Table1[[#This Row],[SL No.]]</f>
        <v>65</v>
      </c>
      <c r="B66" t="str">
        <f>Table1[[#This Row],[Case manager]]</f>
        <v>Dina</v>
      </c>
      <c r="C66" t="str">
        <f>Table1[[#This Row],[Ref No]]</f>
        <v>JCP/24/094062</v>
      </c>
      <c r="D66" t="str">
        <f>Table1[[#This Row],[Name]]</f>
        <v>sayed ali noordeen ali</v>
      </c>
      <c r="E66" s="4">
        <f>'Placements 26'!F66</f>
        <v>46012</v>
      </c>
      <c r="F66" s="4" t="str">
        <f t="shared" ca="1" si="3"/>
        <v>Claimed</v>
      </c>
      <c r="G66" s="4" t="s">
        <v>171</v>
      </c>
      <c r="H66" s="4"/>
      <c r="I66" s="4">
        <v>46127</v>
      </c>
      <c r="J66">
        <f>IF(Table3[[#This Row],[Placement Fee &amp; Variables]]&gt;0,0,1)</f>
        <v>0</v>
      </c>
      <c r="K66" s="4">
        <f>Table3[[#This Row],[Joining Date]]+180</f>
        <v>46192</v>
      </c>
      <c r="L66" t="str">
        <f t="shared" ca="1" si="2"/>
        <v/>
      </c>
      <c r="M66" s="4">
        <v>46202</v>
      </c>
      <c r="N66">
        <f ca="1">IF(Table3[[#This Row],[6M Stat]]="Claimable",1,0)</f>
        <v>0</v>
      </c>
      <c r="O66" s="4">
        <f>Table3[[#This Row],[Joining Date]]+365</f>
        <v>46377</v>
      </c>
      <c r="Q66" t="str">
        <f t="shared" ca="1" si="1"/>
        <v/>
      </c>
      <c r="R66">
        <f ca="1">IF(Table3[[#This Row],[12 M Stat]]="Claimable",1,0)</f>
        <v>0</v>
      </c>
      <c r="S66">
        <f ca="1">Table3[[#This Row],[Placement claim Highlight]]+Table3[[#This Row],[Highlight rule 6M]]+Table3[[#This Row],[Highlight rule 12 M]]</f>
        <v>0</v>
      </c>
      <c r="T66" s="6">
        <f>SUM(Table3[[#This Row],[Placement Fee]:[Salary]])</f>
        <v>275</v>
      </c>
      <c r="U66" s="6"/>
      <c r="V66" s="6">
        <f>IF(Table1[[#This Row],[MoL]]="Yes",55,0)</f>
        <v>55</v>
      </c>
      <c r="W66" s="6">
        <f>IF(Table1[[#This Row],[Long MoL +3 Years]]="Yes",137.5,0)</f>
        <v>137.5</v>
      </c>
      <c r="X66" s="6">
        <f>IF(Table1[[#This Row],[Gender]]="Female",137.5,0)</f>
        <v>0</v>
      </c>
      <c r="Y66" s="6">
        <f>IF(Table1[[#This Row],[Education]]="Bachelors +",55,0)</f>
        <v>0</v>
      </c>
      <c r="Z66" s="6">
        <f>IF(Table1[[#This Row],[Salary]]&gt;=600,82.5,0)</f>
        <v>82.5</v>
      </c>
    </row>
    <row r="67" spans="1:26">
      <c r="A67" s="3">
        <f>Table1[[#This Row],[SL No.]]</f>
        <v>66</v>
      </c>
      <c r="B67" t="s">
        <v>12</v>
      </c>
      <c r="C67" t="str">
        <f>Table1[[#This Row],[Ref No]]</f>
        <v>JCP/26/283470</v>
      </c>
      <c r="D67" t="str">
        <f>Table1[[#This Row],[Name]]</f>
        <v>ALI HUSAIN SAEED ABDULWAHAB ALRADHI</v>
      </c>
      <c r="E67" s="4">
        <f>'Placements 26'!F67</f>
        <v>46047</v>
      </c>
      <c r="F67" s="4" t="str">
        <f t="shared" ca="1" si="3"/>
        <v>Claimable</v>
      </c>
      <c r="G67" s="4" t="s">
        <v>171</v>
      </c>
      <c r="H67" s="4"/>
      <c r="I67" s="4">
        <v>46127</v>
      </c>
      <c r="J67">
        <f>IF(Table3[[#This Row],[Placement Fee &amp; Variables]]&gt;0,0,1)</f>
        <v>0</v>
      </c>
      <c r="K67" s="4">
        <f>Table3[[#This Row],[Joining Date]]+180</f>
        <v>46227</v>
      </c>
      <c r="L67" t="str">
        <f t="shared" ref="L67:L97" ca="1" si="4">IF(AND(M67="", K67&lt;=TODAY()), "Claimable", "")</f>
        <v>Claimable</v>
      </c>
      <c r="N67">
        <f ca="1">IF(Table3[[#This Row],[6M Stat]]="Claimable",1,0)</f>
        <v>1</v>
      </c>
      <c r="O67" s="4">
        <f>Table3[[#This Row],[Joining Date]]+365</f>
        <v>46412</v>
      </c>
      <c r="Q67" t="str">
        <f t="shared" ref="Q67:Q130" ca="1" si="5">IF(AND(P67="", O67&lt;=TODAY()), "Claimable", "")</f>
        <v/>
      </c>
      <c r="R67">
        <f ca="1">IF(Table3[[#This Row],[12 M Stat]]="Claimable",1,0)</f>
        <v>0</v>
      </c>
      <c r="S67">
        <f ca="1">Table3[[#This Row],[Placement claim Highlight]]+Table3[[#This Row],[Highlight rule 6M]]+Table3[[#This Row],[Highlight rule 12 M]]</f>
        <v>1</v>
      </c>
      <c r="T67" s="6">
        <f>SUM(Table3[[#This Row],[Placement Fee]:[Salary]])</f>
        <v>330</v>
      </c>
      <c r="U67" s="6"/>
      <c r="V67" s="6">
        <f>IF(Table1[[#This Row],[MoL]]="Yes",55,0)</f>
        <v>55</v>
      </c>
      <c r="W67" s="6">
        <f>IF(Table1[[#This Row],[Long MoL +3 Years]]="Yes",137.5,0)</f>
        <v>137.5</v>
      </c>
      <c r="X67" s="6">
        <f>IF(Table1[[#This Row],[Gender]]="Female",137.5,0)</f>
        <v>0</v>
      </c>
      <c r="Y67" s="6">
        <f>IF(Table1[[#This Row],[Education]]="Bachelors +",55,0)</f>
        <v>55</v>
      </c>
      <c r="Z67" s="6">
        <f>IF(Table1[[#This Row],[Salary]]&gt;=600,82.5,0)</f>
        <v>82.5</v>
      </c>
    </row>
    <row r="68" spans="1:26">
      <c r="A68" s="3">
        <f>Table1[[#This Row],[SL No.]]</f>
        <v>67</v>
      </c>
      <c r="B68" t="s">
        <v>12</v>
      </c>
      <c r="C68" t="str">
        <f>Table1[[#This Row],[Ref No]]</f>
        <v>JCP/26/283404</v>
      </c>
      <c r="D68" t="str">
        <f>Table1[[#This Row],[Name]]</f>
        <v>Kadhem Ahmed Kadhem</v>
      </c>
      <c r="E68" s="4">
        <f>'Placements 26'!F68</f>
        <v>46047</v>
      </c>
      <c r="F68" s="4" t="str">
        <f t="shared" ca="1" si="3"/>
        <v>Claimable</v>
      </c>
      <c r="G68" s="4" t="s">
        <v>171</v>
      </c>
      <c r="H68" s="4"/>
      <c r="I68" s="4">
        <v>46127</v>
      </c>
      <c r="J68">
        <f>IF(Table3[[#This Row],[Placement Fee &amp; Variables]]&gt;0,0,1)</f>
        <v>0</v>
      </c>
      <c r="K68" s="4">
        <f>Table3[[#This Row],[Joining Date]]+180</f>
        <v>46227</v>
      </c>
      <c r="L68" t="str">
        <f t="shared" ca="1" si="4"/>
        <v>Claimable</v>
      </c>
      <c r="N68">
        <f ca="1">IF(Table3[[#This Row],[6M Stat]]="Claimable",1,0)</f>
        <v>1</v>
      </c>
      <c r="O68" s="4">
        <f>Table3[[#This Row],[Joining Date]]+365</f>
        <v>46412</v>
      </c>
      <c r="Q68" t="str">
        <f t="shared" ca="1" si="5"/>
        <v/>
      </c>
      <c r="R68">
        <f ca="1">IF(Table3[[#This Row],[12 M Stat]]="Claimable",1,0)</f>
        <v>0</v>
      </c>
      <c r="S68">
        <f ca="1">Table3[[#This Row],[Placement claim Highlight]]+Table3[[#This Row],[Highlight rule 6M]]+Table3[[#This Row],[Highlight rule 12 M]]</f>
        <v>1</v>
      </c>
      <c r="T68" s="6">
        <f>SUM(Table3[[#This Row],[Placement Fee]:[Salary]])</f>
        <v>275</v>
      </c>
      <c r="U68" s="6"/>
      <c r="V68" s="6">
        <f>IF(Table1[[#This Row],[MoL]]="Yes",55,0)</f>
        <v>55</v>
      </c>
      <c r="W68" s="6">
        <f>IF(Table1[[#This Row],[Long MoL +3 Years]]="Yes",137.5,0)</f>
        <v>137.5</v>
      </c>
      <c r="X68" s="6">
        <f>IF(Table1[[#This Row],[Gender]]="Female",137.5,0)</f>
        <v>0</v>
      </c>
      <c r="Y68" s="6">
        <f>IF(Table1[[#This Row],[Education]]="Bachelors +",55,0)</f>
        <v>0</v>
      </c>
      <c r="Z68" s="6">
        <f>IF(Table1[[#This Row],[Salary]]&gt;=600,82.5,0)</f>
        <v>82.5</v>
      </c>
    </row>
    <row r="69" spans="1:26">
      <c r="A69" s="3">
        <f>Table1[[#This Row],[SL No.]]</f>
        <v>68</v>
      </c>
      <c r="B69" t="s">
        <v>1</v>
      </c>
      <c r="C69" t="str">
        <f>Table1[[#This Row],[Ref No]]</f>
        <v>JCP/26/283447</v>
      </c>
      <c r="D69" t="str">
        <f>Table1[[#This Row],[Name]]</f>
        <v>ALI ABDULREDHA AHMED KHORRAMI</v>
      </c>
      <c r="E69" s="4">
        <f>'Placements 26'!F69</f>
        <v>46047</v>
      </c>
      <c r="F69" s="4" t="str">
        <f t="shared" ca="1" si="3"/>
        <v>Claimable</v>
      </c>
      <c r="G69" s="4" t="s">
        <v>171</v>
      </c>
      <c r="H69" s="4"/>
      <c r="I69" s="4">
        <v>46127</v>
      </c>
      <c r="J69">
        <f>IF(Table3[[#This Row],[Placement Fee &amp; Variables]]&gt;0,0,1)</f>
        <v>0</v>
      </c>
      <c r="K69" s="4">
        <f>Table3[[#This Row],[Joining Date]]+180</f>
        <v>46227</v>
      </c>
      <c r="L69" t="str">
        <f t="shared" ca="1" si="4"/>
        <v>Claimable</v>
      </c>
      <c r="N69">
        <f ca="1">IF(Table3[[#This Row],[6M Stat]]="Claimable",1,0)</f>
        <v>1</v>
      </c>
      <c r="O69" s="4">
        <f>Table3[[#This Row],[Joining Date]]+365</f>
        <v>46412</v>
      </c>
      <c r="Q69" t="str">
        <f t="shared" ca="1" si="5"/>
        <v/>
      </c>
      <c r="R69">
        <f ca="1">IF(Table3[[#This Row],[12 M Stat]]="Claimable",1,0)</f>
        <v>0</v>
      </c>
      <c r="S69">
        <f ca="1">Table3[[#This Row],[Placement claim Highlight]]+Table3[[#This Row],[Highlight rule 6M]]+Table3[[#This Row],[Highlight rule 12 M]]</f>
        <v>1</v>
      </c>
      <c r="T69" s="6">
        <f>SUM(Table3[[#This Row],[Placement Fee]:[Salary]])</f>
        <v>330</v>
      </c>
      <c r="U69" s="6"/>
      <c r="V69" s="6">
        <f>IF(Table1[[#This Row],[MoL]]="Yes",55,0)</f>
        <v>55</v>
      </c>
      <c r="W69" s="6">
        <f>IF(Table1[[#This Row],[Long MoL +3 Years]]="Yes",137.5,0)</f>
        <v>137.5</v>
      </c>
      <c r="X69" s="6">
        <f>IF(Table1[[#This Row],[Gender]]="Female",137.5,0)</f>
        <v>0</v>
      </c>
      <c r="Y69" s="6">
        <f>IF(Table1[[#This Row],[Education]]="Bachelors +",55,0)</f>
        <v>55</v>
      </c>
      <c r="Z69" s="6">
        <f>IF(Table1[[#This Row],[Salary]]&gt;=600,82.5,0)</f>
        <v>82.5</v>
      </c>
    </row>
    <row r="70" spans="1:26">
      <c r="A70" s="3">
        <f>Table1[[#This Row],[SL No.]]</f>
        <v>69</v>
      </c>
      <c r="B70" t="s">
        <v>12</v>
      </c>
      <c r="C70" t="str">
        <f>Table1[[#This Row],[Ref No]]</f>
        <v>JCP/26/283488</v>
      </c>
      <c r="D70" t="str">
        <f>Table1[[#This Row],[Name]]</f>
        <v>Ali maki Abbas</v>
      </c>
      <c r="E70" s="4">
        <f>'Placements 26'!F70</f>
        <v>46047</v>
      </c>
      <c r="F70" s="4" t="str">
        <f t="shared" ca="1" si="3"/>
        <v>Claimable</v>
      </c>
      <c r="G70" s="4" t="s">
        <v>171</v>
      </c>
      <c r="H70" s="4"/>
      <c r="I70" s="4">
        <v>46127</v>
      </c>
      <c r="J70">
        <f>IF(Table3[[#This Row],[Placement Fee &amp; Variables]]&gt;0,0,1)</f>
        <v>0</v>
      </c>
      <c r="K70" s="4">
        <f>Table3[[#This Row],[Joining Date]]+180</f>
        <v>46227</v>
      </c>
      <c r="L70" t="str">
        <f t="shared" ca="1" si="4"/>
        <v>Claimable</v>
      </c>
      <c r="N70">
        <f ca="1">IF(Table3[[#This Row],[6M Stat]]="Claimable",1,0)</f>
        <v>1</v>
      </c>
      <c r="O70" s="4">
        <f>Table3[[#This Row],[Joining Date]]+365</f>
        <v>46412</v>
      </c>
      <c r="Q70" t="str">
        <f t="shared" ca="1" si="5"/>
        <v/>
      </c>
      <c r="R70">
        <f ca="1">IF(Table3[[#This Row],[12 M Stat]]="Claimable",1,0)</f>
        <v>0</v>
      </c>
      <c r="S70">
        <f ca="1">Table3[[#This Row],[Placement claim Highlight]]+Table3[[#This Row],[Highlight rule 6M]]+Table3[[#This Row],[Highlight rule 12 M]]</f>
        <v>1</v>
      </c>
      <c r="T70" s="6">
        <f>SUM(Table3[[#This Row],[Placement Fee]:[Salary]])</f>
        <v>137.5</v>
      </c>
      <c r="U70" s="6"/>
      <c r="V70" s="6">
        <f>IF(Table1[[#This Row],[MoL]]="Yes",55,0)</f>
        <v>55</v>
      </c>
      <c r="W70" s="6">
        <f>IF(Table1[[#This Row],[Long MoL +3 Years]]="Yes",137.5,0)</f>
        <v>0</v>
      </c>
      <c r="X70" s="6">
        <f>IF(Table1[[#This Row],[Gender]]="Female",137.5,0)</f>
        <v>0</v>
      </c>
      <c r="Y70" s="6">
        <f>IF(Table1[[#This Row],[Education]]="Bachelors +",55,0)</f>
        <v>0</v>
      </c>
      <c r="Z70" s="6">
        <f>IF(Table1[[#This Row],[Salary]]&gt;=600,82.5,0)</f>
        <v>82.5</v>
      </c>
    </row>
    <row r="71" spans="1:26">
      <c r="A71" s="3">
        <f>Table1[[#This Row],[SL No.]]</f>
        <v>70</v>
      </c>
      <c r="B71" t="str">
        <f>Table1[[#This Row],[Case manager]]</f>
        <v>Zainab Mattar</v>
      </c>
      <c r="C71" t="str">
        <f>Table1[[#This Row],[Ref No]]</f>
        <v>26/288849</v>
      </c>
      <c r="D71" t="str">
        <f>Table1[[#This Row],[Name]]</f>
        <v>FATEMA JASIM AHMED SALEH</v>
      </c>
      <c r="E71" s="4">
        <f>'Placements 26'!F71</f>
        <v>46113</v>
      </c>
      <c r="F71" s="4" t="str">
        <f t="shared" ca="1" si="3"/>
        <v>Claimable</v>
      </c>
      <c r="G71" s="4" t="s">
        <v>38</v>
      </c>
      <c r="H71" s="4" t="s">
        <v>1160</v>
      </c>
      <c r="J71">
        <f>IF(Table3[[#This Row],[Placement Fee &amp; Variables]]&gt;0,0,1)</f>
        <v>1</v>
      </c>
      <c r="K71" s="4">
        <f>Table3[[#This Row],[Joining Date]]+180</f>
        <v>46293</v>
      </c>
      <c r="L71" t="str">
        <f t="shared" ca="1" si="4"/>
        <v>Claimable</v>
      </c>
      <c r="N71">
        <f ca="1">IF(Table3[[#This Row],[6M Stat]]="Claimable",1,0)</f>
        <v>1</v>
      </c>
      <c r="O71" s="4">
        <f>Table3[[#This Row],[Joining Date]]+365</f>
        <v>46478</v>
      </c>
      <c r="Q71" t="str">
        <f t="shared" ca="1" si="5"/>
        <v/>
      </c>
      <c r="R71">
        <f ca="1">IF(Table3[[#This Row],[12 M Stat]]="Claimable",1,0)</f>
        <v>0</v>
      </c>
      <c r="S71">
        <f ca="1">Table3[[#This Row],[Placement claim Highlight]]+Table3[[#This Row],[Highlight rule 6M]]+Table3[[#This Row],[Highlight rule 12 M]]</f>
        <v>2</v>
      </c>
      <c r="T71" s="6">
        <f>SUM(Table3[[#This Row],[Placement Fee]:[Salary]])</f>
        <v>192.5</v>
      </c>
      <c r="U71" s="6"/>
      <c r="V71" s="6">
        <f>IF(Table1[[#This Row],[MoL]]="Yes",55,0)</f>
        <v>0</v>
      </c>
      <c r="W71" s="6">
        <f>IF(Table1[[#This Row],[Long MoL +3 Years]]="Yes",137.5,0)</f>
        <v>0</v>
      </c>
      <c r="X71" s="6">
        <f>IF(Table1[[#This Row],[Gender]]="Female",137.5,0)</f>
        <v>137.5</v>
      </c>
      <c r="Y71" s="6">
        <f>IF(Table1[[#This Row],[Education]]="Bachelors +",55,0)</f>
        <v>55</v>
      </c>
      <c r="Z71" s="6">
        <f>IF(Table1[[#This Row],[Salary]]&gt;=600,82.5,0)</f>
        <v>0</v>
      </c>
    </row>
    <row r="72" spans="1:26">
      <c r="A72" s="3">
        <f>Table1[[#This Row],[SL No.]]</f>
        <v>71</v>
      </c>
      <c r="B72" t="str">
        <f>Table1[[#This Row],[Case manager]]</f>
        <v>Meaad</v>
      </c>
      <c r="C72" t="str">
        <f>Table1[[#This Row],[Ref No]]</f>
        <v>26/289712</v>
      </c>
      <c r="D72" t="str">
        <f>Table1[[#This Row],[Name]]</f>
        <v>Maryam Abbas Ahmed Ebrahim Abdulla Almeftah</v>
      </c>
      <c r="E72" s="4">
        <f>'Placements 26'!F72</f>
        <v>46111</v>
      </c>
      <c r="F72" s="4" t="str">
        <f t="shared" ca="1" si="3"/>
        <v>Claimable</v>
      </c>
      <c r="G72" s="4" t="s">
        <v>38</v>
      </c>
      <c r="H72" s="4"/>
      <c r="I72" s="4">
        <v>46133</v>
      </c>
      <c r="J72">
        <f>IF(Table3[[#This Row],[Placement Fee &amp; Variables]]&gt;0,0,1)</f>
        <v>0</v>
      </c>
      <c r="K72" s="4">
        <f>Table3[[#This Row],[Joining Date]]+180</f>
        <v>46291</v>
      </c>
      <c r="L72" t="str">
        <f t="shared" ca="1" si="4"/>
        <v>Claimable</v>
      </c>
      <c r="N72">
        <f ca="1">IF(Table3[[#This Row],[6M Stat]]="Claimable",1,0)</f>
        <v>1</v>
      </c>
      <c r="O72" s="4">
        <f>Table3[[#This Row],[Joining Date]]+365</f>
        <v>46476</v>
      </c>
      <c r="Q72" t="str">
        <f t="shared" ca="1" si="5"/>
        <v/>
      </c>
      <c r="R72">
        <f ca="1">IF(Table3[[#This Row],[12 M Stat]]="Claimable",1,0)</f>
        <v>0</v>
      </c>
      <c r="S72">
        <f ca="1">Table3[[#This Row],[Placement claim Highlight]]+Table3[[#This Row],[Highlight rule 6M]]+Table3[[#This Row],[Highlight rule 12 M]]</f>
        <v>1</v>
      </c>
      <c r="T72" s="6">
        <f>SUM(Table3[[#This Row],[Placement Fee]:[Salary]])</f>
        <v>192.5</v>
      </c>
      <c r="U72" s="6"/>
      <c r="V72" s="6">
        <f>IF(Table1[[#This Row],[MoL]]="Yes",55,0)</f>
        <v>0</v>
      </c>
      <c r="W72" s="6">
        <f>IF(Table1[[#This Row],[Long MoL +3 Years]]="Yes",137.5,0)</f>
        <v>0</v>
      </c>
      <c r="X72" s="6">
        <f>IF(Table1[[#This Row],[Gender]]="Female",137.5,0)</f>
        <v>137.5</v>
      </c>
      <c r="Y72" s="6">
        <f>IF(Table1[[#This Row],[Education]]="Bachelors +",55,0)</f>
        <v>55</v>
      </c>
      <c r="Z72" s="6">
        <f>IF(Table1[[#This Row],[Salary]]&gt;=600,82.5,0)</f>
        <v>0</v>
      </c>
    </row>
    <row r="73" spans="1:26">
      <c r="A73" s="3">
        <f>Table1[[#This Row],[SL No.]]</f>
        <v>72</v>
      </c>
      <c r="B73" t="str">
        <f>Table1[[#This Row],[Case manager]]</f>
        <v>Husain</v>
      </c>
      <c r="C73" t="str">
        <f>Table1[[#This Row],[Ref No]]</f>
        <v>JCP/24/145750</v>
      </c>
      <c r="D73" t="str">
        <f>Table1[[#This Row],[Name]]</f>
        <v>MOHAMED AHMED ALI AHMED HUSAIN</v>
      </c>
      <c r="E73" s="4">
        <f>'Placements 26'!F73</f>
        <v>46106</v>
      </c>
      <c r="F73" s="4" t="str">
        <f t="shared" ca="1" si="3"/>
        <v>Claimable</v>
      </c>
      <c r="G73" s="4" t="s">
        <v>171</v>
      </c>
      <c r="H73" s="4"/>
      <c r="I73" s="4">
        <v>46130</v>
      </c>
      <c r="J73">
        <f>IF(Table3[[#This Row],[Placement Fee &amp; Variables]]&gt;0,0,1)</f>
        <v>0</v>
      </c>
      <c r="K73" s="4">
        <f>Table3[[#This Row],[Joining Date]]+180</f>
        <v>46286</v>
      </c>
      <c r="L73" t="str">
        <f t="shared" ca="1" si="4"/>
        <v>Claimable</v>
      </c>
      <c r="N73">
        <f ca="1">IF(Table3[[#This Row],[6M Stat]]="Claimable",1,0)</f>
        <v>1</v>
      </c>
      <c r="O73" s="4">
        <f>Table3[[#This Row],[Joining Date]]+365</f>
        <v>46471</v>
      </c>
      <c r="Q73" t="str">
        <f t="shared" ca="1" si="5"/>
        <v/>
      </c>
      <c r="R73">
        <f ca="1">IF(Table3[[#This Row],[12 M Stat]]="Claimable",1,0)</f>
        <v>0</v>
      </c>
      <c r="S73">
        <f ca="1">Table3[[#This Row],[Placement claim Highlight]]+Table3[[#This Row],[Highlight rule 6M]]+Table3[[#This Row],[Highlight rule 12 M]]</f>
        <v>1</v>
      </c>
      <c r="T73" s="6">
        <f>SUM(Table3[[#This Row],[Placement Fee]:[Salary]])</f>
        <v>55</v>
      </c>
      <c r="U73" s="6"/>
      <c r="V73" s="6">
        <f>IF(Table1[[#This Row],[MoL]]="Yes",55,0)</f>
        <v>55</v>
      </c>
      <c r="W73" s="6">
        <f>IF(Table1[[#This Row],[Long MoL +3 Years]]="Yes",137.5,0)</f>
        <v>0</v>
      </c>
      <c r="X73" s="6">
        <f>IF(Table1[[#This Row],[Gender]]="Female",137.5,0)</f>
        <v>0</v>
      </c>
      <c r="Y73" s="6">
        <f>IF(Table1[[#This Row],[Education]]="Bachelors +",55,0)</f>
        <v>0</v>
      </c>
      <c r="Z73" s="6">
        <f>IF(Table1[[#This Row],[Salary]]&gt;=600,82.5,0)</f>
        <v>0</v>
      </c>
    </row>
    <row r="74" spans="1:26">
      <c r="A74" s="3">
        <f>Table1[[#This Row],[SL No.]]</f>
        <v>73</v>
      </c>
      <c r="B74" t="str">
        <f>Table1[[#This Row],[Case manager]]</f>
        <v>Zainab Mattar</v>
      </c>
      <c r="C74" t="str">
        <f>Table1[[#This Row],[Ref No]]</f>
        <v>JCP/25/217083</v>
      </c>
      <c r="D74" t="str">
        <f>Table1[[#This Row],[Name]]</f>
        <v>REEMA ARSALAN JASIM ARAYEDH</v>
      </c>
      <c r="E74" s="4">
        <f>'Placements 26'!F74</f>
        <v>46117</v>
      </c>
      <c r="F74" s="4" t="str">
        <f t="shared" ca="1" si="3"/>
        <v>Claimable</v>
      </c>
      <c r="G74" s="4" t="s">
        <v>171</v>
      </c>
      <c r="H74" s="4" t="s">
        <v>1161</v>
      </c>
      <c r="J74">
        <f>IF(Table3[[#This Row],[Placement Fee &amp; Variables]]&gt;0,0,1)</f>
        <v>1</v>
      </c>
      <c r="K74" s="4">
        <f>Table3[[#This Row],[Joining Date]]+180</f>
        <v>46297</v>
      </c>
      <c r="L74" t="str">
        <f t="shared" ca="1" si="4"/>
        <v>Claimable</v>
      </c>
      <c r="N74">
        <f ca="1">IF(Table3[[#This Row],[6M Stat]]="Claimable",1,0)</f>
        <v>1</v>
      </c>
      <c r="O74" s="4">
        <f>Table3[[#This Row],[Joining Date]]+365</f>
        <v>46482</v>
      </c>
      <c r="Q74" t="str">
        <f t="shared" ca="1" si="5"/>
        <v/>
      </c>
      <c r="R74">
        <f ca="1">IF(Table3[[#This Row],[12 M Stat]]="Claimable",1,0)</f>
        <v>0</v>
      </c>
      <c r="S74">
        <f ca="1">Table3[[#This Row],[Placement claim Highlight]]+Table3[[#This Row],[Highlight rule 6M]]+Table3[[#This Row],[Highlight rule 12 M]]</f>
        <v>2</v>
      </c>
      <c r="T74" s="6">
        <f>SUM(Table3[[#This Row],[Placement Fee]:[Salary]])</f>
        <v>192.5</v>
      </c>
      <c r="U74" s="6"/>
      <c r="V74" s="6">
        <f>IF(Table1[[#This Row],[MoL]]="Yes",55,0)</f>
        <v>0</v>
      </c>
      <c r="W74" s="6">
        <f>IF(Table1[[#This Row],[Long MoL +3 Years]]="Yes",137.5,0)</f>
        <v>0</v>
      </c>
      <c r="X74" s="6">
        <f>IF(Table1[[#This Row],[Gender]]="Female",137.5,0)</f>
        <v>137.5</v>
      </c>
      <c r="Y74" s="6">
        <f>IF(Table1[[#This Row],[Education]]="Bachelors +",55,0)</f>
        <v>55</v>
      </c>
      <c r="Z74" s="6">
        <f>IF(Table1[[#This Row],[Salary]]&gt;=600,82.5,0)</f>
        <v>0</v>
      </c>
    </row>
    <row r="75" spans="1:26">
      <c r="A75" s="3">
        <f>Table1[[#This Row],[SL No.]]</f>
        <v>74</v>
      </c>
      <c r="B75" t="str">
        <f>Table1[[#This Row],[Case manager]]</f>
        <v>Husain</v>
      </c>
      <c r="C75" t="str">
        <f>Table1[[#This Row],[Ref No]]</f>
        <v>24/049470</v>
      </c>
      <c r="D75" t="str">
        <f>Table1[[#This Row],[Name]]</f>
        <v>HASAN MAHDI NASER ALKHABBAZ</v>
      </c>
      <c r="E75" s="4">
        <f>'Placements 26'!F75</f>
        <v>46099</v>
      </c>
      <c r="F75" s="4" t="str">
        <f t="shared" ca="1" si="3"/>
        <v>Claimable</v>
      </c>
      <c r="G75" s="4" t="s">
        <v>38</v>
      </c>
      <c r="H75" s="4"/>
      <c r="I75" s="4">
        <v>46130</v>
      </c>
      <c r="J75">
        <f>IF(Table3[[#This Row],[Placement Fee &amp; Variables]]&gt;0,0,1)</f>
        <v>0</v>
      </c>
      <c r="K75" s="4">
        <f>Table3[[#This Row],[Joining Date]]+180</f>
        <v>46279</v>
      </c>
      <c r="L75" t="str">
        <f t="shared" ca="1" si="4"/>
        <v>Claimable</v>
      </c>
      <c r="N75">
        <f ca="1">IF(Table3[[#This Row],[6M Stat]]="Claimable",1,0)</f>
        <v>1</v>
      </c>
      <c r="O75" s="4">
        <f>Table3[[#This Row],[Joining Date]]+365</f>
        <v>46464</v>
      </c>
      <c r="Q75" t="str">
        <f t="shared" ca="1" si="5"/>
        <v/>
      </c>
      <c r="R75">
        <f ca="1">IF(Table3[[#This Row],[12 M Stat]]="Claimable",1,0)</f>
        <v>0</v>
      </c>
      <c r="S75">
        <f ca="1">Table3[[#This Row],[Placement claim Highlight]]+Table3[[#This Row],[Highlight rule 6M]]+Table3[[#This Row],[Highlight rule 12 M]]</f>
        <v>1</v>
      </c>
      <c r="T75" s="6">
        <f>SUM(Table3[[#This Row],[Placement Fee]:[Salary]])</f>
        <v>55</v>
      </c>
      <c r="U75" s="6"/>
      <c r="V75" s="6">
        <f>IF(Table1[[#This Row],[MoL]]="Yes",55,0)</f>
        <v>55</v>
      </c>
      <c r="W75" s="6">
        <f>IF(Table1[[#This Row],[Long MoL +3 Years]]="Yes",137.5,0)</f>
        <v>0</v>
      </c>
      <c r="X75" s="6">
        <f>IF(Table1[[#This Row],[Gender]]="Female",137.5,0)</f>
        <v>0</v>
      </c>
      <c r="Y75" s="6">
        <f>IF(Table1[[#This Row],[Education]]="Bachelors +",55,0)</f>
        <v>0</v>
      </c>
      <c r="Z75" s="6">
        <f>IF(Table1[[#This Row],[Salary]]&gt;=600,82.5,0)</f>
        <v>0</v>
      </c>
    </row>
    <row r="76" spans="1:26">
      <c r="A76" s="3">
        <f>Table1[[#This Row],[SL No.]]</f>
        <v>75</v>
      </c>
      <c r="B76" t="str">
        <f>Table1[[#This Row],[Case manager]]</f>
        <v>Meaad</v>
      </c>
      <c r="C76" t="str">
        <f>Table1[[#This Row],[Ref No]]</f>
        <v>26/289720</v>
      </c>
      <c r="D76" t="str">
        <f>Table1[[#This Row],[Name]]</f>
        <v>ALI MAHROOS</v>
      </c>
      <c r="E76" s="4">
        <f>'Placements 26'!F76</f>
        <v>46113</v>
      </c>
      <c r="F76" s="4" t="str">
        <f t="shared" ca="1" si="3"/>
        <v>Claimable</v>
      </c>
      <c r="G76" s="4" t="s">
        <v>38</v>
      </c>
      <c r="H76" s="4"/>
      <c r="I76" s="4">
        <v>46133</v>
      </c>
      <c r="J76">
        <f>IF(Table3[[#This Row],[Placement Fee &amp; Variables]]&gt;0,0,1)</f>
        <v>0</v>
      </c>
      <c r="K76" s="4">
        <f>Table3[[#This Row],[Joining Date]]+180</f>
        <v>46293</v>
      </c>
      <c r="L76" t="str">
        <f t="shared" ca="1" si="4"/>
        <v>Claimable</v>
      </c>
      <c r="N76">
        <f ca="1">IF(Table3[[#This Row],[6M Stat]]="Claimable",1,0)</f>
        <v>1</v>
      </c>
      <c r="O76" s="4">
        <f>Table3[[#This Row],[Joining Date]]+365</f>
        <v>46478</v>
      </c>
      <c r="Q76" t="str">
        <f t="shared" ca="1" si="5"/>
        <v/>
      </c>
      <c r="R76">
        <f ca="1">IF(Table3[[#This Row],[12 M Stat]]="Claimable",1,0)</f>
        <v>0</v>
      </c>
      <c r="S76">
        <f ca="1">Table3[[#This Row],[Placement claim Highlight]]+Table3[[#This Row],[Highlight rule 6M]]+Table3[[#This Row],[Highlight rule 12 M]]</f>
        <v>1</v>
      </c>
      <c r="T76" s="6">
        <f>SUM(Table3[[#This Row],[Placement Fee]:[Salary]])</f>
        <v>0</v>
      </c>
      <c r="U76" s="6"/>
      <c r="V76" s="6">
        <f>IF(Table1[[#This Row],[MoL]]="Yes",55,0)</f>
        <v>0</v>
      </c>
      <c r="W76" s="6">
        <f>IF(Table1[[#This Row],[Long MoL +3 Years]]="Yes",137.5,0)</f>
        <v>0</v>
      </c>
      <c r="X76" s="6">
        <f>IF(Table1[[#This Row],[Gender]]="Female",137.5,0)</f>
        <v>0</v>
      </c>
      <c r="Y76" s="6">
        <f>IF(Table1[[#This Row],[Education]]="Bachelors +",55,0)</f>
        <v>0</v>
      </c>
      <c r="Z76" s="6">
        <f>IF(Table1[[#This Row],[Salary]]&gt;=600,82.5,0)</f>
        <v>0</v>
      </c>
    </row>
    <row r="77" spans="1:26">
      <c r="A77" s="3">
        <f>Table1[[#This Row],[SL No.]]</f>
        <v>76</v>
      </c>
      <c r="B77" t="str">
        <f>Table1[[#This Row],[Case manager]]</f>
        <v>Meaad</v>
      </c>
      <c r="C77" t="str">
        <f>Table1[[#This Row],[Ref No]]</f>
        <v>26/288557</v>
      </c>
      <c r="D77" t="str">
        <f>Table1[[#This Row],[Name]]</f>
        <v>KAWTHAR HUSAIN MAKI A DEKHEEL</v>
      </c>
      <c r="E77" s="4">
        <f>'Placements 26'!F77</f>
        <v>46113</v>
      </c>
      <c r="F77" s="4" t="str">
        <f t="shared" ca="1" si="3"/>
        <v>Claimable</v>
      </c>
      <c r="G77" s="4" t="s">
        <v>171</v>
      </c>
      <c r="H77" s="4"/>
      <c r="I77" s="4">
        <v>46140</v>
      </c>
      <c r="J77">
        <f>IF(Table3[[#This Row],[Placement Fee &amp; Variables]]&gt;0,0,1)</f>
        <v>0</v>
      </c>
      <c r="K77" s="4">
        <f>Table3[[#This Row],[Joining Date]]+180</f>
        <v>46293</v>
      </c>
      <c r="L77" t="str">
        <f t="shared" ca="1" si="4"/>
        <v>Claimable</v>
      </c>
      <c r="N77">
        <f ca="1">IF(Table3[[#This Row],[6M Stat]]="Claimable",1,0)</f>
        <v>1</v>
      </c>
      <c r="O77" s="4">
        <f>Table3[[#This Row],[Joining Date]]+365</f>
        <v>46478</v>
      </c>
      <c r="Q77" t="str">
        <f t="shared" ca="1" si="5"/>
        <v/>
      </c>
      <c r="R77">
        <f ca="1">IF(Table3[[#This Row],[12 M Stat]]="Claimable",1,0)</f>
        <v>0</v>
      </c>
      <c r="S77">
        <f ca="1">Table3[[#This Row],[Placement claim Highlight]]+Table3[[#This Row],[Highlight rule 6M]]+Table3[[#This Row],[Highlight rule 12 M]]</f>
        <v>1</v>
      </c>
      <c r="T77" s="6">
        <f>SUM(Table3[[#This Row],[Placement Fee]:[Salary]])</f>
        <v>192.5</v>
      </c>
      <c r="U77" s="6"/>
      <c r="V77" s="6">
        <f>IF(Table1[[#This Row],[MoL]]="Yes",55,0)</f>
        <v>0</v>
      </c>
      <c r="W77" s="6">
        <f>IF(Table1[[#This Row],[Long MoL +3 Years]]="Yes",137.5,0)</f>
        <v>0</v>
      </c>
      <c r="X77" s="6">
        <f>IF(Table1[[#This Row],[Gender]]="Female",137.5,0)</f>
        <v>137.5</v>
      </c>
      <c r="Y77" s="6">
        <f>IF(Table1[[#This Row],[Education]]="Bachelors +",55,0)</f>
        <v>55</v>
      </c>
      <c r="Z77" s="6">
        <f>IF(Table1[[#This Row],[Salary]]&gt;=600,82.5,0)</f>
        <v>0</v>
      </c>
    </row>
    <row r="78" spans="1:26">
      <c r="A78" s="3">
        <f>Table1[[#This Row],[SL No.]]</f>
        <v>77</v>
      </c>
      <c r="B78" t="str">
        <f>Table1[[#This Row],[Case manager]]</f>
        <v>Zainab Almaroom</v>
      </c>
      <c r="C78" t="str">
        <f>Table1[[#This Row],[Ref No]]</f>
        <v>JCP/25/264921</v>
      </c>
      <c r="D78" t="str">
        <f>Table1[[#This Row],[Name]]</f>
        <v>Maryam Akbar Murad</v>
      </c>
      <c r="E78" s="4">
        <f>'Placements 26'!F78</f>
        <v>46104</v>
      </c>
      <c r="F78" s="4" t="str">
        <f t="shared" ca="1" si="3"/>
        <v>Claimed</v>
      </c>
      <c r="G78" s="4" t="s">
        <v>171</v>
      </c>
      <c r="H78" s="4"/>
      <c r="I78" t="s">
        <v>1162</v>
      </c>
      <c r="J78">
        <f>IF(Table3[[#This Row],[Placement Fee &amp; Variables]]&gt;0,0,1)</f>
        <v>0</v>
      </c>
      <c r="K78" s="4">
        <f>Table3[[#This Row],[Joining Date]]+180</f>
        <v>46284</v>
      </c>
      <c r="L78" t="str">
        <f t="shared" ca="1" si="4"/>
        <v/>
      </c>
      <c r="M78" t="s">
        <v>1163</v>
      </c>
      <c r="N78">
        <f ca="1">IF(Table3[[#This Row],[6M Stat]]="Claimable",1,0)</f>
        <v>0</v>
      </c>
      <c r="O78" s="4">
        <f>Table3[[#This Row],[Joining Date]]+365</f>
        <v>46469</v>
      </c>
      <c r="Q78" t="str">
        <f t="shared" ca="1" si="5"/>
        <v/>
      </c>
      <c r="R78">
        <f ca="1">IF(Table3[[#This Row],[12 M Stat]]="Claimable",1,0)</f>
        <v>0</v>
      </c>
      <c r="S78">
        <f ca="1">Table3[[#This Row],[Placement claim Highlight]]+Table3[[#This Row],[Highlight rule 6M]]+Table3[[#This Row],[Highlight rule 12 M]]</f>
        <v>0</v>
      </c>
      <c r="T78" s="6">
        <f>SUM(Table3[[#This Row],[Placement Fee]:[Salary]])</f>
        <v>275</v>
      </c>
      <c r="U78" s="6"/>
      <c r="V78" s="6">
        <f>IF(Table1[[#This Row],[MoL]]="Yes",55,0)</f>
        <v>0</v>
      </c>
      <c r="W78" s="6">
        <f>IF(Table1[[#This Row],[Long MoL +3 Years]]="Yes",137.5,0)</f>
        <v>0</v>
      </c>
      <c r="X78" s="6">
        <f>IF(Table1[[#This Row],[Gender]]="Female",137.5,0)</f>
        <v>137.5</v>
      </c>
      <c r="Y78" s="6">
        <f>IF(Table1[[#This Row],[Education]]="Bachelors +",55,0)</f>
        <v>55</v>
      </c>
      <c r="Z78" s="6">
        <f>IF(Table1[[#This Row],[Salary]]&gt;=600,82.5,0)</f>
        <v>82.5</v>
      </c>
    </row>
    <row r="79" spans="1:26">
      <c r="A79" s="3">
        <f>Table1[[#This Row],[SL No.]]</f>
        <v>78</v>
      </c>
      <c r="B79" t="s">
        <v>12</v>
      </c>
      <c r="C79" t="str">
        <f>Table1[[#This Row],[Ref No]]</f>
        <v>JCP/25/180026</v>
      </c>
      <c r="D79" t="str">
        <f>Table1[[#This Row],[Name]]</f>
        <v>Yusuf Ebrahim Yusuf Ahmed Fulad</v>
      </c>
      <c r="E79" s="4">
        <f>'Placements 26'!F79</f>
        <v>46061</v>
      </c>
      <c r="F79" s="4" t="str">
        <f t="shared" ca="1" si="3"/>
        <v>Claimed</v>
      </c>
      <c r="G79" s="4" t="s">
        <v>38</v>
      </c>
      <c r="H79" s="4" t="s">
        <v>1164</v>
      </c>
      <c r="I79" s="4" t="s">
        <v>1164</v>
      </c>
      <c r="J79">
        <f>IF(Table3[[#This Row],[Placement Fee &amp; Variables]]&gt;0,0,1)</f>
        <v>0</v>
      </c>
      <c r="K79" s="4">
        <f>Table3[[#This Row],[Joining Date]]+180</f>
        <v>46241</v>
      </c>
      <c r="L79" t="str">
        <f t="shared" ca="1" si="4"/>
        <v/>
      </c>
      <c r="M79" s="4" t="s">
        <v>1164</v>
      </c>
      <c r="N79">
        <f ca="1">IF(Table3[[#This Row],[6M Stat]]="Claimable",1,0)</f>
        <v>0</v>
      </c>
      <c r="O79" s="4">
        <f>Table3[[#This Row],[Joining Date]]+365</f>
        <v>46426</v>
      </c>
      <c r="P79" s="4" t="s">
        <v>1164</v>
      </c>
      <c r="Q79" t="str">
        <f t="shared" ca="1" si="5"/>
        <v/>
      </c>
      <c r="R79">
        <f ca="1">IF(Table3[[#This Row],[12 M Stat]]="Claimable",1,0)</f>
        <v>0</v>
      </c>
      <c r="S79">
        <f ca="1">Table3[[#This Row],[Placement claim Highlight]]+Table3[[#This Row],[Highlight rule 6M]]+Table3[[#This Row],[Highlight rule 12 M]]</f>
        <v>0</v>
      </c>
      <c r="T79" s="6">
        <f>SUM(Table3[[#This Row],[Placement Fee]:[Salary]])</f>
        <v>0</v>
      </c>
      <c r="U79" s="6"/>
      <c r="V79" s="6">
        <f>IF(Table1[[#This Row],[MoL]]="Yes",55,0)</f>
        <v>0</v>
      </c>
      <c r="W79" s="6">
        <f>IF(Table1[[#This Row],[Long MoL +3 Years]]="Yes",137.5,0)</f>
        <v>0</v>
      </c>
      <c r="X79" s="6">
        <f>IF(Table1[[#This Row],[Gender]]="Female",137.5,0)</f>
        <v>0</v>
      </c>
      <c r="Y79" s="6">
        <f>IF(Table1[[#This Row],[Education]]="Bachelors +",55,0)</f>
        <v>0</v>
      </c>
      <c r="Z79" s="6">
        <f>IF(Table1[[#This Row],[Salary]]&gt;=600,82.5,0)</f>
        <v>0</v>
      </c>
    </row>
    <row r="80" spans="1:26">
      <c r="A80" s="3">
        <f>Table1[[#This Row],[SL No.]]</f>
        <v>79</v>
      </c>
      <c r="B80" t="str">
        <f>Table1[[#This Row],[Case manager]]</f>
        <v>Dina</v>
      </c>
      <c r="C80" t="str">
        <f>Table1[[#This Row],[Ref No]]</f>
        <v>JCP/26/285439</v>
      </c>
      <c r="D80" t="str">
        <f>Table1[[#This Row],[Name]]</f>
        <v>Sayed Mohammed ALI Albahraini</v>
      </c>
      <c r="E80" s="4">
        <f>'Placements 26'!F80</f>
        <v>46061</v>
      </c>
      <c r="F80" s="4" t="str">
        <f t="shared" ca="1" si="3"/>
        <v>Claimed</v>
      </c>
      <c r="G80" s="4" t="s">
        <v>171</v>
      </c>
      <c r="H80" s="4" t="s">
        <v>1165</v>
      </c>
      <c r="I80" s="4">
        <v>46127</v>
      </c>
      <c r="J80">
        <f>IF(Table3[[#This Row],[Placement Fee &amp; Variables]]&gt;0,0,1)</f>
        <v>0</v>
      </c>
      <c r="K80" s="4">
        <f>Table3[[#This Row],[Joining Date]]+180</f>
        <v>46241</v>
      </c>
      <c r="L80" t="str">
        <f t="shared" ca="1" si="4"/>
        <v/>
      </c>
      <c r="M80" s="4" t="s">
        <v>1165</v>
      </c>
      <c r="N80">
        <f ca="1">IF(Table3[[#This Row],[6M Stat]]="Claimable",1,0)</f>
        <v>0</v>
      </c>
      <c r="O80" s="4">
        <f>Table3[[#This Row],[Joining Date]]+365</f>
        <v>46426</v>
      </c>
      <c r="P80" s="4" t="s">
        <v>1165</v>
      </c>
      <c r="Q80" t="str">
        <f t="shared" ca="1" si="5"/>
        <v/>
      </c>
      <c r="R80">
        <f ca="1">IF(Table3[[#This Row],[12 M Stat]]="Claimable",1,0)</f>
        <v>0</v>
      </c>
      <c r="S80">
        <f ca="1">Table3[[#This Row],[Placement claim Highlight]]+Table3[[#This Row],[Highlight rule 6M]]+Table3[[#This Row],[Highlight rule 12 M]]</f>
        <v>0</v>
      </c>
      <c r="T80" s="6">
        <f>SUM(Table3[[#This Row],[Placement Fee]:[Salary]])</f>
        <v>55</v>
      </c>
      <c r="U80" s="6"/>
      <c r="V80" s="6">
        <f>IF(Table1[[#This Row],[MoL]]="Yes",55,0)</f>
        <v>55</v>
      </c>
      <c r="W80" s="6">
        <f>IF(Table1[[#This Row],[Long MoL +3 Years]]="Yes",137.5,0)</f>
        <v>0</v>
      </c>
      <c r="X80" s="6">
        <f>IF(Table1[[#This Row],[Gender]]="Female",137.5,0)</f>
        <v>0</v>
      </c>
      <c r="Y80" s="6">
        <f>IF(Table1[[#This Row],[Education]]="Bachelors +",55,0)</f>
        <v>0</v>
      </c>
      <c r="Z80" s="6">
        <f>IF(Table1[[#This Row],[Salary]]&gt;=600,82.5,0)</f>
        <v>0</v>
      </c>
    </row>
    <row r="81" spans="1:26">
      <c r="A81" s="3">
        <f>Table1[[#This Row],[SL No.]]</f>
        <v>80</v>
      </c>
      <c r="B81" t="str">
        <f>Table1[[#This Row],[Case manager]]</f>
        <v>Dina</v>
      </c>
      <c r="C81" t="str">
        <f>Table1[[#This Row],[Ref No]]</f>
        <v>JCP/24/145581</v>
      </c>
      <c r="D81" t="str">
        <f>Table1[[#This Row],[Name]]</f>
        <v>JASIM MOHAMED SALEH SALEH</v>
      </c>
      <c r="E81" s="4">
        <f>'Placements 26'!F81</f>
        <v>46054</v>
      </c>
      <c r="F81" s="4" t="str">
        <f t="shared" ca="1" si="3"/>
        <v>Claimable</v>
      </c>
      <c r="G81" s="4" t="s">
        <v>38</v>
      </c>
      <c r="H81" s="4" t="s">
        <v>1166</v>
      </c>
      <c r="J81">
        <f>IF(Table3[[#This Row],[Placement Fee &amp; Variables]]&gt;0,0,1)</f>
        <v>1</v>
      </c>
      <c r="K81" s="4">
        <f>Table3[[#This Row],[Joining Date]]+180</f>
        <v>46234</v>
      </c>
      <c r="L81" t="str">
        <f t="shared" ca="1" si="4"/>
        <v>Claimable</v>
      </c>
      <c r="N81">
        <f ca="1">IF(Table3[[#This Row],[6M Stat]]="Claimable",1,0)</f>
        <v>1</v>
      </c>
      <c r="O81" s="4">
        <f>Table3[[#This Row],[Joining Date]]+365</f>
        <v>46419</v>
      </c>
      <c r="Q81" t="str">
        <f t="shared" ca="1" si="5"/>
        <v/>
      </c>
      <c r="R81">
        <f ca="1">IF(Table3[[#This Row],[12 M Stat]]="Claimable",1,0)</f>
        <v>0</v>
      </c>
      <c r="S81">
        <f ca="1">Table3[[#This Row],[Placement claim Highlight]]+Table3[[#This Row],[Highlight rule 6M]]+Table3[[#This Row],[Highlight rule 12 M]]</f>
        <v>2</v>
      </c>
      <c r="T81" s="6">
        <f>SUM(Table3[[#This Row],[Placement Fee]:[Salary]])</f>
        <v>0</v>
      </c>
      <c r="U81" s="6"/>
      <c r="V81" s="6">
        <f>IF(Table1[[#This Row],[MoL]]="Yes",55,0)</f>
        <v>0</v>
      </c>
      <c r="W81" s="6">
        <f>IF(Table1[[#This Row],[Long MoL +3 Years]]="Yes",137.5,0)</f>
        <v>0</v>
      </c>
      <c r="X81" s="6">
        <f>IF(Table1[[#This Row],[Gender]]="Female",137.5,0)</f>
        <v>0</v>
      </c>
      <c r="Y81" s="6">
        <f>IF(Table1[[#This Row],[Education]]="Bachelors +",55,0)</f>
        <v>0</v>
      </c>
      <c r="Z81" s="6">
        <f>IF(Table1[[#This Row],[Salary]]&gt;=600,82.5,0)</f>
        <v>0</v>
      </c>
    </row>
    <row r="82" spans="1:26">
      <c r="A82" s="3">
        <f>Table1[[#This Row],[SL No.]]</f>
        <v>81</v>
      </c>
      <c r="B82" t="str">
        <f>Table1[[#This Row],[Case manager]]</f>
        <v>Dina</v>
      </c>
      <c r="C82" t="str">
        <f>Table1[[#This Row],[Ref No]]</f>
        <v>JCP/25/223037</v>
      </c>
      <c r="D82" t="str">
        <f>Table1[[#This Row],[Name]]</f>
        <v>JAAFAR KADHEM HUSAIN HABIB KADHEM ALJABOORI</v>
      </c>
      <c r="E82" s="4">
        <f>'Placements 26'!F82</f>
        <v>46061</v>
      </c>
      <c r="F82" s="4" t="str">
        <f t="shared" ca="1" si="3"/>
        <v>Claimable</v>
      </c>
      <c r="G82" s="4" t="s">
        <v>171</v>
      </c>
      <c r="H82" s="4" t="s">
        <v>1165</v>
      </c>
      <c r="I82" s="4">
        <v>46160</v>
      </c>
      <c r="J82">
        <f>IF(Table3[[#This Row],[Placement Fee &amp; Variables]]&gt;0,0,1)</f>
        <v>0</v>
      </c>
      <c r="K82" s="4">
        <f>Table3[[#This Row],[Joining Date]]+180</f>
        <v>46241</v>
      </c>
      <c r="L82" t="str">
        <f t="shared" ca="1" si="4"/>
        <v>Claimable</v>
      </c>
      <c r="N82">
        <f ca="1">IF(Table3[[#This Row],[6M Stat]]="Claimable",1,0)</f>
        <v>1</v>
      </c>
      <c r="O82" s="4">
        <f>Table3[[#This Row],[Joining Date]]+365</f>
        <v>46426</v>
      </c>
      <c r="Q82" t="str">
        <f t="shared" ca="1" si="5"/>
        <v/>
      </c>
      <c r="R82">
        <f ca="1">IF(Table3[[#This Row],[12 M Stat]]="Claimable",1,0)</f>
        <v>0</v>
      </c>
      <c r="S82">
        <f ca="1">Table3[[#This Row],[Placement claim Highlight]]+Table3[[#This Row],[Highlight rule 6M]]+Table3[[#This Row],[Highlight rule 12 M]]</f>
        <v>1</v>
      </c>
      <c r="T82" s="6">
        <f>SUM(Table3[[#This Row],[Placement Fee]:[Salary]])</f>
        <v>55</v>
      </c>
      <c r="U82" s="6"/>
      <c r="V82" s="6">
        <f>IF(Table1[[#This Row],[MoL]]="Yes",55,0)</f>
        <v>55</v>
      </c>
      <c r="W82" s="6">
        <f>IF(Table1[[#This Row],[Long MoL +3 Years]]="Yes",137.5,0)</f>
        <v>0</v>
      </c>
      <c r="X82" s="6">
        <f>IF(Table1[[#This Row],[Gender]]="Female",137.5,0)</f>
        <v>0</v>
      </c>
      <c r="Y82" s="6">
        <f>IF(Table1[[#This Row],[Education]]="Bachelors +",55,0)</f>
        <v>0</v>
      </c>
      <c r="Z82" s="6">
        <f>IF(Table1[[#This Row],[Salary]]&gt;=600,82.5,0)</f>
        <v>0</v>
      </c>
    </row>
    <row r="83" spans="1:26">
      <c r="A83" s="3">
        <f>Table1[[#This Row],[SL No.]]</f>
        <v>82</v>
      </c>
      <c r="B83" t="str">
        <f>Table1[[#This Row],[Case manager]]</f>
        <v>Malak</v>
      </c>
      <c r="C83" t="str">
        <f>Table1[[#This Row],[Ref No]]</f>
        <v>JCP/26/286008</v>
      </c>
      <c r="D83" t="str">
        <f>Table1[[#This Row],[Name]]</f>
        <v>Husain Hasan Ali</v>
      </c>
      <c r="E83" s="4">
        <f>'Placements 26'!F83</f>
        <v>46068</v>
      </c>
      <c r="F83" s="4" t="str">
        <f t="shared" ca="1" si="3"/>
        <v>Claimable</v>
      </c>
      <c r="G83" s="4" t="s">
        <v>38</v>
      </c>
      <c r="H83" s="4" t="s">
        <v>1167</v>
      </c>
      <c r="I83" s="4"/>
      <c r="J83">
        <f>IF(Table3[[#This Row],[Placement Fee &amp; Variables]]&gt;0,0,1)</f>
        <v>1</v>
      </c>
      <c r="K83" s="4">
        <f>Table3[[#This Row],[Joining Date]]+180</f>
        <v>46248</v>
      </c>
      <c r="L83" t="str">
        <f t="shared" ca="1" si="4"/>
        <v>Claimable</v>
      </c>
      <c r="N83">
        <f ca="1">IF(Table3[[#This Row],[6M Stat]]="Claimable",1,0)</f>
        <v>1</v>
      </c>
      <c r="O83" s="4">
        <f>Table3[[#This Row],[Joining Date]]+365</f>
        <v>46433</v>
      </c>
      <c r="Q83" t="str">
        <f t="shared" ca="1" si="5"/>
        <v/>
      </c>
      <c r="R83">
        <f ca="1">IF(Table3[[#This Row],[12 M Stat]]="Claimable",1,0)</f>
        <v>0</v>
      </c>
      <c r="S83">
        <f ca="1">Table3[[#This Row],[Placement claim Highlight]]+Table3[[#This Row],[Highlight rule 6M]]+Table3[[#This Row],[Highlight rule 12 M]]</f>
        <v>2</v>
      </c>
      <c r="T83" s="6">
        <f>SUM(Table3[[#This Row],[Placement Fee]:[Salary]])</f>
        <v>0</v>
      </c>
      <c r="U83" s="6"/>
      <c r="V83" s="6">
        <f>IF(Table1[[#This Row],[MoL]]="Yes",55,0)</f>
        <v>0</v>
      </c>
      <c r="W83" s="6">
        <f>IF(Table1[[#This Row],[Long MoL +3 Years]]="Yes",137.5,0)</f>
        <v>0</v>
      </c>
      <c r="X83" s="6">
        <f>IF(Table1[[#This Row],[Gender]]="Female",137.5,0)</f>
        <v>0</v>
      </c>
      <c r="Y83" s="6">
        <f>IF(Table1[[#This Row],[Education]]="Bachelors +",55,0)</f>
        <v>0</v>
      </c>
      <c r="Z83" s="6">
        <f>IF(Table1[[#This Row],[Salary]]&gt;=600,82.5,0)</f>
        <v>0</v>
      </c>
    </row>
    <row r="84" spans="1:26">
      <c r="A84" s="3">
        <f>Table1[[#This Row],[SL No.]]</f>
        <v>83</v>
      </c>
      <c r="B84" t="s">
        <v>12</v>
      </c>
      <c r="C84" t="str">
        <f>Table1[[#This Row],[Ref No]]</f>
        <v>JCP/26/283442</v>
      </c>
      <c r="D84" t="str">
        <f>Table1[[#This Row],[Name]]</f>
        <v>HUSAIN EBRAHIM JASIM EBRAHIM</v>
      </c>
      <c r="E84" s="4">
        <f>'Placements 26'!F84</f>
        <v>46068</v>
      </c>
      <c r="F84" s="4" t="str">
        <f t="shared" ca="1" si="3"/>
        <v>Claimable</v>
      </c>
      <c r="G84" s="4" t="s">
        <v>171</v>
      </c>
      <c r="H84" s="4"/>
      <c r="I84" s="4">
        <v>46127</v>
      </c>
      <c r="J84">
        <f>IF(Table3[[#This Row],[Placement Fee &amp; Variables]]&gt;0,0,1)</f>
        <v>0</v>
      </c>
      <c r="K84" s="4">
        <f>Table3[[#This Row],[Joining Date]]+180</f>
        <v>46248</v>
      </c>
      <c r="L84" t="str">
        <f t="shared" ca="1" si="4"/>
        <v>Claimable</v>
      </c>
      <c r="N84">
        <f ca="1">IF(Table3[[#This Row],[6M Stat]]="Claimable",1,0)</f>
        <v>1</v>
      </c>
      <c r="O84" s="4">
        <f>Table3[[#This Row],[Joining Date]]+365</f>
        <v>46433</v>
      </c>
      <c r="Q84" t="str">
        <f t="shared" ca="1" si="5"/>
        <v/>
      </c>
      <c r="R84">
        <f ca="1">IF(Table3[[#This Row],[12 M Stat]]="Claimable",1,0)</f>
        <v>0</v>
      </c>
      <c r="S84">
        <f ca="1">Table3[[#This Row],[Placement claim Highlight]]+Table3[[#This Row],[Highlight rule 6M]]+Table3[[#This Row],[Highlight rule 12 M]]</f>
        <v>1</v>
      </c>
      <c r="T84" s="6">
        <f>SUM(Table3[[#This Row],[Placement Fee]:[Salary]])</f>
        <v>0</v>
      </c>
      <c r="U84" s="6"/>
      <c r="V84" s="6">
        <f>IF(Table1[[#This Row],[MoL]]="Yes",55,0)</f>
        <v>0</v>
      </c>
      <c r="W84" s="6">
        <f>IF(Table1[[#This Row],[Long MoL +3 Years]]="Yes",137.5,0)</f>
        <v>0</v>
      </c>
      <c r="X84" s="6">
        <f>IF(Table1[[#This Row],[Gender]]="Female",137.5,0)</f>
        <v>0</v>
      </c>
      <c r="Y84" s="6">
        <f>IF(Table1[[#This Row],[Education]]="Bachelors +",55,0)</f>
        <v>0</v>
      </c>
      <c r="Z84" s="6">
        <f>IF(Table1[[#This Row],[Salary]]&gt;=600,82.5,0)</f>
        <v>0</v>
      </c>
    </row>
    <row r="85" spans="1:26">
      <c r="A85" s="3">
        <f>Table1[[#This Row],[SL No.]]</f>
        <v>84</v>
      </c>
      <c r="B85" t="s">
        <v>12</v>
      </c>
      <c r="C85" t="str">
        <f>Table1[[#This Row],[Ref No]]</f>
        <v>JCP/25/263373</v>
      </c>
      <c r="D85" t="str">
        <f>Table1[[#This Row],[Name]]</f>
        <v>hasan husain ebrahim</v>
      </c>
      <c r="E85" s="4">
        <f>'Placements 26'!F85</f>
        <v>46075</v>
      </c>
      <c r="F85" s="4" t="str">
        <f t="shared" ca="1" si="3"/>
        <v>Claimable</v>
      </c>
      <c r="G85" s="4" t="s">
        <v>171</v>
      </c>
      <c r="H85" s="4"/>
      <c r="I85" s="4">
        <v>46160</v>
      </c>
      <c r="J85">
        <f>IF(Table3[[#This Row],[Placement Fee &amp; Variables]]&gt;0,0,1)</f>
        <v>0</v>
      </c>
      <c r="K85" s="4">
        <f>Table3[[#This Row],[Joining Date]]+180</f>
        <v>46255</v>
      </c>
      <c r="L85" t="str">
        <f t="shared" ca="1" si="4"/>
        <v>Claimable</v>
      </c>
      <c r="N85">
        <f ca="1">IF(Table3[[#This Row],[6M Stat]]="Claimable",1,0)</f>
        <v>1</v>
      </c>
      <c r="O85" s="4">
        <f>Table3[[#This Row],[Joining Date]]+365</f>
        <v>46440</v>
      </c>
      <c r="Q85" t="str">
        <f t="shared" ca="1" si="5"/>
        <v/>
      </c>
      <c r="R85">
        <f ca="1">IF(Table3[[#This Row],[12 M Stat]]="Claimable",1,0)</f>
        <v>0</v>
      </c>
      <c r="S85">
        <f ca="1">Table3[[#This Row],[Placement claim Highlight]]+Table3[[#This Row],[Highlight rule 6M]]+Table3[[#This Row],[Highlight rule 12 M]]</f>
        <v>1</v>
      </c>
      <c r="T85" s="6">
        <f>SUM(Table3[[#This Row],[Placement Fee]:[Salary]])</f>
        <v>0</v>
      </c>
      <c r="U85" s="6"/>
      <c r="V85" s="6">
        <f>IF(Table1[[#This Row],[MoL]]="Yes",55,0)</f>
        <v>0</v>
      </c>
      <c r="W85" s="6">
        <f>IF(Table1[[#This Row],[Long MoL +3 Years]]="Yes",137.5,0)</f>
        <v>0</v>
      </c>
      <c r="X85" s="6">
        <f>IF(Table1[[#This Row],[Gender]]="Female",137.5,0)</f>
        <v>0</v>
      </c>
      <c r="Y85" s="6">
        <f>IF(Table1[[#This Row],[Education]]="Bachelors +",55,0)</f>
        <v>0</v>
      </c>
      <c r="Z85" s="6">
        <f>IF(Table1[[#This Row],[Salary]]&gt;=600,82.5,0)</f>
        <v>0</v>
      </c>
    </row>
    <row r="86" spans="1:26">
      <c r="A86" s="3">
        <f>Table1[[#This Row],[SL No.]]</f>
        <v>85</v>
      </c>
      <c r="B86" t="s">
        <v>12</v>
      </c>
      <c r="C86" t="str">
        <f>Table1[[#This Row],[Ref No]]</f>
        <v>JCP/26/285998</v>
      </c>
      <c r="D86" t="str">
        <f>Table1[[#This Row],[Name]]</f>
        <v>HASAN ABDULZAHRA ASHO DHABAAN</v>
      </c>
      <c r="E86" s="4">
        <f>'Placements 26'!F86</f>
        <v>46068</v>
      </c>
      <c r="F86" s="4" t="str">
        <f t="shared" ca="1" si="3"/>
        <v>Claimable</v>
      </c>
      <c r="G86" s="4" t="s">
        <v>171</v>
      </c>
      <c r="H86" s="4"/>
      <c r="I86" s="4">
        <v>46160</v>
      </c>
      <c r="J86">
        <f>IF(Table3[[#This Row],[Placement Fee &amp; Variables]]&gt;0,0,1)</f>
        <v>0</v>
      </c>
      <c r="K86" s="4">
        <f>Table3[[#This Row],[Joining Date]]+180</f>
        <v>46248</v>
      </c>
      <c r="L86" t="str">
        <f t="shared" ca="1" si="4"/>
        <v>Claimable</v>
      </c>
      <c r="N86">
        <f ca="1">IF(Table3[[#This Row],[6M Stat]]="Claimable",1,0)</f>
        <v>1</v>
      </c>
      <c r="O86" s="4">
        <f>Table3[[#This Row],[Joining Date]]+365</f>
        <v>46433</v>
      </c>
      <c r="Q86" t="str">
        <f t="shared" ca="1" si="5"/>
        <v/>
      </c>
      <c r="R86">
        <f ca="1">IF(Table3[[#This Row],[12 M Stat]]="Claimable",1,0)</f>
        <v>0</v>
      </c>
      <c r="S86">
        <f ca="1">Table3[[#This Row],[Placement claim Highlight]]+Table3[[#This Row],[Highlight rule 6M]]+Table3[[#This Row],[Highlight rule 12 M]]</f>
        <v>1</v>
      </c>
      <c r="T86" s="6">
        <f>SUM(Table3[[#This Row],[Placement Fee]:[Salary]])</f>
        <v>0</v>
      </c>
      <c r="U86" s="6"/>
      <c r="V86" s="6">
        <f>IF(Table1[[#This Row],[MoL]]="Yes",55,0)</f>
        <v>0</v>
      </c>
      <c r="W86" s="6">
        <f>IF(Table1[[#This Row],[Long MoL +3 Years]]="Yes",137.5,0)</f>
        <v>0</v>
      </c>
      <c r="X86" s="6">
        <f>IF(Table1[[#This Row],[Gender]]="Female",137.5,0)</f>
        <v>0</v>
      </c>
      <c r="Y86" s="6">
        <f>IF(Table1[[#This Row],[Education]]="Bachelors +",55,0)</f>
        <v>0</v>
      </c>
      <c r="Z86" s="6">
        <f>IF(Table1[[#This Row],[Salary]]&gt;=600,82.5,0)</f>
        <v>0</v>
      </c>
    </row>
    <row r="87" spans="1:26">
      <c r="A87" s="3">
        <f>Table1[[#This Row],[SL No.]]</f>
        <v>86</v>
      </c>
      <c r="B87" t="str">
        <f>Table1[[#This Row],[Case manager]]</f>
        <v>Dina</v>
      </c>
      <c r="C87" t="str">
        <f>Table1[[#This Row],[Ref No]]</f>
        <v>JCP/25/264214</v>
      </c>
      <c r="D87" t="str">
        <f>Table1[[#This Row],[Name]]</f>
        <v>FOZAN KHAN MANZOOR Ali MUZAFFAR</v>
      </c>
      <c r="E87" s="4">
        <f>'Placements 26'!F87</f>
        <v>46068</v>
      </c>
      <c r="F87" s="4" t="str">
        <f t="shared" ca="1" si="3"/>
        <v>Claimable</v>
      </c>
      <c r="G87" s="4" t="s">
        <v>171</v>
      </c>
      <c r="H87" s="4"/>
      <c r="I87" s="4">
        <v>46160</v>
      </c>
      <c r="J87">
        <f>IF(Table3[[#This Row],[Placement Fee &amp; Variables]]&gt;0,0,1)</f>
        <v>0</v>
      </c>
      <c r="K87" s="4">
        <f>Table3[[#This Row],[Joining Date]]+180</f>
        <v>46248</v>
      </c>
      <c r="L87" t="str">
        <f t="shared" ca="1" si="4"/>
        <v>Claimable</v>
      </c>
      <c r="N87">
        <f ca="1">IF(Table3[[#This Row],[6M Stat]]="Claimable",1,0)</f>
        <v>1</v>
      </c>
      <c r="O87" s="4">
        <f>Table3[[#This Row],[Joining Date]]+365</f>
        <v>46433</v>
      </c>
      <c r="Q87" t="str">
        <f t="shared" ca="1" si="5"/>
        <v/>
      </c>
      <c r="R87">
        <f ca="1">IF(Table3[[#This Row],[12 M Stat]]="Claimable",1,0)</f>
        <v>0</v>
      </c>
      <c r="S87">
        <f ca="1">Table3[[#This Row],[Placement claim Highlight]]+Table3[[#This Row],[Highlight rule 6M]]+Table3[[#This Row],[Highlight rule 12 M]]</f>
        <v>1</v>
      </c>
      <c r="T87" s="6">
        <f>SUM(Table3[[#This Row],[Placement Fee]:[Salary]])</f>
        <v>82.5</v>
      </c>
      <c r="U87" s="6"/>
      <c r="V87" s="6">
        <f>IF(Table1[[#This Row],[MoL]]="Yes",55,0)</f>
        <v>0</v>
      </c>
      <c r="W87" s="6">
        <f>IF(Table1[[#This Row],[Long MoL +3 Years]]="Yes",137.5,0)</f>
        <v>0</v>
      </c>
      <c r="X87" s="6">
        <f>IF(Table1[[#This Row],[Gender]]="Female",137.5,0)</f>
        <v>0</v>
      </c>
      <c r="Y87" s="6">
        <f>IF(Table1[[#This Row],[Education]]="Bachelors +",55,0)</f>
        <v>0</v>
      </c>
      <c r="Z87" s="6">
        <f>IF(Table1[[#This Row],[Salary]]&gt;=600,82.5,0)</f>
        <v>82.5</v>
      </c>
    </row>
    <row r="88" spans="1:26">
      <c r="A88" s="3">
        <f>Table1[[#This Row],[SL No.]]</f>
        <v>87</v>
      </c>
      <c r="B88" t="s">
        <v>12</v>
      </c>
      <c r="C88" t="str">
        <f>Table1[[#This Row],[Ref No]]</f>
        <v>JCP/25/190581</v>
      </c>
      <c r="D88" t="str">
        <f>Table1[[#This Row],[Name]]</f>
        <v>faisal ahmed ahmed shah gul salam hashmi</v>
      </c>
      <c r="E88" s="4">
        <f>'Placements 26'!F88</f>
        <v>46054</v>
      </c>
      <c r="F88" s="4" t="str">
        <f t="shared" ca="1" si="3"/>
        <v>Claimable</v>
      </c>
      <c r="G88" s="4" t="s">
        <v>171</v>
      </c>
      <c r="H88" s="4"/>
      <c r="I88" s="4">
        <v>46128</v>
      </c>
      <c r="J88">
        <f>IF(Table3[[#This Row],[Placement Fee &amp; Variables]]&gt;0,0,1)</f>
        <v>0</v>
      </c>
      <c r="K88" s="4">
        <f>Table3[[#This Row],[Joining Date]]+180</f>
        <v>46234</v>
      </c>
      <c r="L88" t="str">
        <f t="shared" ca="1" si="4"/>
        <v>Claimable</v>
      </c>
      <c r="N88">
        <f ca="1">IF(Table3[[#This Row],[6M Stat]]="Claimable",1,0)</f>
        <v>1</v>
      </c>
      <c r="O88" s="4">
        <f>Table3[[#This Row],[Joining Date]]+365</f>
        <v>46419</v>
      </c>
      <c r="Q88" t="str">
        <f t="shared" ca="1" si="5"/>
        <v/>
      </c>
      <c r="R88">
        <f ca="1">IF(Table3[[#This Row],[12 M Stat]]="Claimable",1,0)</f>
        <v>0</v>
      </c>
      <c r="S88">
        <f ca="1">Table3[[#This Row],[Placement claim Highlight]]+Table3[[#This Row],[Highlight rule 6M]]+Table3[[#This Row],[Highlight rule 12 M]]</f>
        <v>1</v>
      </c>
      <c r="T88" s="6">
        <f>SUM(Table3[[#This Row],[Placement Fee]:[Salary]])</f>
        <v>247.5</v>
      </c>
      <c r="U88" s="6"/>
      <c r="V88" s="6">
        <f>IF(Table1[[#This Row],[MoL]]="Yes",55,0)</f>
        <v>55</v>
      </c>
      <c r="W88" s="6">
        <f>IF(Table1[[#This Row],[Long MoL +3 Years]]="Yes",137.5,0)</f>
        <v>137.5</v>
      </c>
      <c r="X88" s="6">
        <f>IF(Table1[[#This Row],[Gender]]="Female",137.5,0)</f>
        <v>0</v>
      </c>
      <c r="Y88" s="6">
        <f>IF(Table1[[#This Row],[Education]]="Bachelors +",55,0)</f>
        <v>55</v>
      </c>
      <c r="Z88" s="6">
        <f>IF(Table1[[#This Row],[Salary]]&gt;=600,82.5,0)</f>
        <v>0</v>
      </c>
    </row>
    <row r="89" spans="1:26">
      <c r="A89" s="3">
        <f>Table1[[#This Row],[SL No.]]</f>
        <v>88</v>
      </c>
      <c r="B89" t="str">
        <f>Table1[[#This Row],[Case manager]]</f>
        <v>Dina</v>
      </c>
      <c r="C89" t="str">
        <f>Table1[[#This Row],[Ref No]]</f>
        <v>JCP/25/198356</v>
      </c>
      <c r="D89" t="str">
        <f>Table1[[#This Row],[Name]]</f>
        <v>Faisal Ghulam Mohd</v>
      </c>
      <c r="E89" s="4">
        <f>'Placements 26'!F89</f>
        <v>46098</v>
      </c>
      <c r="F89" s="4" t="str">
        <f t="shared" ca="1" si="3"/>
        <v>Claimable</v>
      </c>
      <c r="G89" s="4" t="s">
        <v>38</v>
      </c>
      <c r="H89" s="4" t="s">
        <v>1166</v>
      </c>
      <c r="J89">
        <f>IF(Table3[[#This Row],[Placement Fee &amp; Variables]]&gt;0,0,1)</f>
        <v>1</v>
      </c>
      <c r="K89" s="4">
        <f>Table3[[#This Row],[Joining Date]]+180</f>
        <v>46278</v>
      </c>
      <c r="L89" t="str">
        <f t="shared" ca="1" si="4"/>
        <v>Claimable</v>
      </c>
      <c r="N89">
        <f ca="1">IF(Table3[[#This Row],[6M Stat]]="Claimable",1,0)</f>
        <v>1</v>
      </c>
      <c r="O89" s="4">
        <f>Table3[[#This Row],[Joining Date]]+365</f>
        <v>46463</v>
      </c>
      <c r="Q89" t="str">
        <f t="shared" ca="1" si="5"/>
        <v/>
      </c>
      <c r="R89">
        <f ca="1">IF(Table3[[#This Row],[12 M Stat]]="Claimable",1,0)</f>
        <v>0</v>
      </c>
      <c r="S89">
        <f ca="1">Table3[[#This Row],[Placement claim Highlight]]+Table3[[#This Row],[Highlight rule 6M]]+Table3[[#This Row],[Highlight rule 12 M]]</f>
        <v>2</v>
      </c>
      <c r="T89" s="6">
        <f>SUM(Table3[[#This Row],[Placement Fee]:[Salary]])</f>
        <v>0</v>
      </c>
      <c r="U89" s="6"/>
      <c r="V89" s="6">
        <f>IF(Table1[[#This Row],[MoL]]="Yes",55,0)</f>
        <v>0</v>
      </c>
      <c r="W89" s="6">
        <f>IF(Table1[[#This Row],[Long MoL +3 Years]]="Yes",137.5,0)</f>
        <v>0</v>
      </c>
      <c r="X89" s="6">
        <f>IF(Table1[[#This Row],[Gender]]="Female",137.5,0)</f>
        <v>0</v>
      </c>
      <c r="Y89" s="6">
        <f>IF(Table1[[#This Row],[Education]]="Bachelors +",55,0)</f>
        <v>0</v>
      </c>
      <c r="Z89" s="6">
        <f>IF(Table1[[#This Row],[Salary]]&gt;=600,82.5,0)</f>
        <v>0</v>
      </c>
    </row>
    <row r="90" spans="1:26">
      <c r="A90" s="3">
        <f>Table1[[#This Row],[SL No.]]</f>
        <v>89</v>
      </c>
      <c r="B90" t="str">
        <f>Table1[[#This Row],[Case manager]]</f>
        <v>Malak</v>
      </c>
      <c r="C90" t="str">
        <f>Table1[[#This Row],[Ref No]]</f>
        <v>JCP/25/167732</v>
      </c>
      <c r="D90" t="str">
        <f>Table1[[#This Row],[Name]]</f>
        <v>BASEL SHAKER ALI MANSOOR ALI</v>
      </c>
      <c r="E90" s="4">
        <f>'Placements 26'!F90</f>
        <v>46061</v>
      </c>
      <c r="F90" s="4" t="str">
        <f t="shared" ca="1" si="3"/>
        <v>Claimable</v>
      </c>
      <c r="G90" s="4" t="s">
        <v>171</v>
      </c>
      <c r="H90" s="4"/>
      <c r="I90" s="4">
        <v>46153</v>
      </c>
      <c r="J90">
        <f>IF(Table3[[#This Row],[Placement Fee &amp; Variables]]&gt;0,0,1)</f>
        <v>0</v>
      </c>
      <c r="K90" s="4">
        <f>Table3[[#This Row],[Joining Date]]+180</f>
        <v>46241</v>
      </c>
      <c r="L90" t="str">
        <f t="shared" ca="1" si="4"/>
        <v>Claimable</v>
      </c>
      <c r="N90">
        <f ca="1">IF(Table3[[#This Row],[6M Stat]]="Claimable",1,0)</f>
        <v>1</v>
      </c>
      <c r="O90" s="4">
        <f>Table3[[#This Row],[Joining Date]]+365</f>
        <v>46426</v>
      </c>
      <c r="Q90" t="str">
        <f t="shared" ca="1" si="5"/>
        <v/>
      </c>
      <c r="R90">
        <f ca="1">IF(Table3[[#This Row],[12 M Stat]]="Claimable",1,0)</f>
        <v>0</v>
      </c>
      <c r="S90">
        <f ca="1">Table3[[#This Row],[Placement claim Highlight]]+Table3[[#This Row],[Highlight rule 6M]]+Table3[[#This Row],[Highlight rule 12 M]]</f>
        <v>1</v>
      </c>
      <c r="T90" s="6">
        <f>SUM(Table3[[#This Row],[Placement Fee]:[Salary]])</f>
        <v>0</v>
      </c>
      <c r="U90" s="6"/>
      <c r="V90" s="6">
        <f>IF(Table1[[#This Row],[MoL]]="Yes",55,0)</f>
        <v>0</v>
      </c>
      <c r="W90" s="6">
        <f>IF(Table1[[#This Row],[Long MoL +3 Years]]="Yes",137.5,0)</f>
        <v>0</v>
      </c>
      <c r="X90" s="6">
        <f>IF(Table1[[#This Row],[Gender]]="Female",137.5,0)</f>
        <v>0</v>
      </c>
      <c r="Y90" s="6">
        <f>IF(Table1[[#This Row],[Education]]="Bachelors +",55,0)</f>
        <v>0</v>
      </c>
      <c r="Z90" s="6">
        <f>IF(Table1[[#This Row],[Salary]]&gt;=600,82.5,0)</f>
        <v>0</v>
      </c>
    </row>
    <row r="91" spans="1:26">
      <c r="A91" s="3">
        <f>Table1[[#This Row],[SL No.]]</f>
        <v>90</v>
      </c>
      <c r="B91" t="str">
        <f>Table1[[#This Row],[Case manager]]</f>
        <v>Meaad</v>
      </c>
      <c r="C91" t="str">
        <f>Table1[[#This Row],[Ref No]]</f>
        <v>26/270825</v>
      </c>
      <c r="D91" t="str">
        <f>Table1[[#This Row],[Name]]</f>
        <v>Ali Mohsin Abdali</v>
      </c>
      <c r="E91" s="4">
        <f>'Placements 26'!F91</f>
        <v>46061</v>
      </c>
      <c r="F91" s="4" t="str">
        <f t="shared" ca="1" si="3"/>
        <v>Claimable</v>
      </c>
      <c r="G91" s="4" t="s">
        <v>38</v>
      </c>
      <c r="H91" s="4" t="s">
        <v>1168</v>
      </c>
      <c r="J91">
        <f>IF(Table3[[#This Row],[Placement Fee &amp; Variables]]&gt;0,0,1)</f>
        <v>1</v>
      </c>
      <c r="K91" s="4">
        <f>Table3[[#This Row],[Joining Date]]+180</f>
        <v>46241</v>
      </c>
      <c r="L91" t="str">
        <f t="shared" ca="1" si="4"/>
        <v>Claimable</v>
      </c>
      <c r="N91">
        <f ca="1">IF(Table3[[#This Row],[6M Stat]]="Claimable",1,0)</f>
        <v>1</v>
      </c>
      <c r="O91" s="4">
        <f>Table3[[#This Row],[Joining Date]]+365</f>
        <v>46426</v>
      </c>
      <c r="Q91" t="str">
        <f t="shared" ca="1" si="5"/>
        <v/>
      </c>
      <c r="R91">
        <f ca="1">IF(Table3[[#This Row],[12 M Stat]]="Claimable",1,0)</f>
        <v>0</v>
      </c>
      <c r="S91">
        <f ca="1">Table3[[#This Row],[Placement claim Highlight]]+Table3[[#This Row],[Highlight rule 6M]]+Table3[[#This Row],[Highlight rule 12 M]]</f>
        <v>2</v>
      </c>
      <c r="T91" s="6">
        <f>SUM(Table3[[#This Row],[Placement Fee]:[Salary]])</f>
        <v>0</v>
      </c>
      <c r="U91" s="6"/>
      <c r="V91" s="6">
        <f>IF(Table1[[#This Row],[MoL]]="Yes",55,0)</f>
        <v>0</v>
      </c>
      <c r="W91" s="6">
        <f>IF(Table1[[#This Row],[Long MoL +3 Years]]="Yes",137.5,0)</f>
        <v>0</v>
      </c>
      <c r="X91" s="6">
        <f>IF(Table1[[#This Row],[Gender]]="Female",137.5,0)</f>
        <v>0</v>
      </c>
      <c r="Y91" s="6">
        <f>IF(Table1[[#This Row],[Education]]="Bachelors +",55,0)</f>
        <v>0</v>
      </c>
      <c r="Z91" s="6">
        <f>IF(Table1[[#This Row],[Salary]]&gt;=600,82.5,0)</f>
        <v>0</v>
      </c>
    </row>
    <row r="92" spans="1:26">
      <c r="A92" s="3">
        <f>Table1[[#This Row],[SL No.]]</f>
        <v>91</v>
      </c>
      <c r="B92" t="str">
        <f>Table1[[#This Row],[Case manager]]</f>
        <v>Dina</v>
      </c>
      <c r="C92" t="str">
        <f>Table1[[#This Row],[Ref No]]</f>
        <v>JCP/26/285421</v>
      </c>
      <c r="D92" t="str">
        <f>Table1[[#This Row],[Name]]</f>
        <v>ali abbas abdali</v>
      </c>
      <c r="E92" s="4">
        <f>'Placements 26'!F92</f>
        <v>46061</v>
      </c>
      <c r="F92" s="4" t="str">
        <f t="shared" ca="1" si="3"/>
        <v>Claimable</v>
      </c>
      <c r="G92" s="4" t="s">
        <v>171</v>
      </c>
      <c r="H92" s="4" t="s">
        <v>1169</v>
      </c>
      <c r="I92" s="4">
        <v>46128</v>
      </c>
      <c r="J92">
        <f>IF(Table3[[#This Row],[Placement Fee &amp; Variables]]&gt;0,0,1)</f>
        <v>0</v>
      </c>
      <c r="K92" s="4">
        <f>Table3[[#This Row],[Joining Date]]+180</f>
        <v>46241</v>
      </c>
      <c r="L92" t="str">
        <f t="shared" ca="1" si="4"/>
        <v>Claimable</v>
      </c>
      <c r="N92">
        <f ca="1">IF(Table3[[#This Row],[6M Stat]]="Claimable",1,0)</f>
        <v>1</v>
      </c>
      <c r="O92" s="4">
        <f>Table3[[#This Row],[Joining Date]]+365</f>
        <v>46426</v>
      </c>
      <c r="Q92" t="str">
        <f t="shared" ca="1" si="5"/>
        <v/>
      </c>
      <c r="R92">
        <f ca="1">IF(Table3[[#This Row],[12 M Stat]]="Claimable",1,0)</f>
        <v>0</v>
      </c>
      <c r="S92">
        <f ca="1">Table3[[#This Row],[Placement claim Highlight]]+Table3[[#This Row],[Highlight rule 6M]]+Table3[[#This Row],[Highlight rule 12 M]]</f>
        <v>1</v>
      </c>
      <c r="T92" s="6">
        <f>SUM(Table3[[#This Row],[Placement Fee]:[Salary]])</f>
        <v>0</v>
      </c>
      <c r="U92" s="6"/>
      <c r="V92" s="6">
        <f>IF(Table1[[#This Row],[MoL]]="Yes",55,0)</f>
        <v>0</v>
      </c>
      <c r="W92" s="6">
        <f>IF(Table1[[#This Row],[Long MoL +3 Years]]="Yes",137.5,0)</f>
        <v>0</v>
      </c>
      <c r="X92" s="6">
        <f>IF(Table1[[#This Row],[Gender]]="Female",137.5,0)</f>
        <v>0</v>
      </c>
      <c r="Y92" s="6">
        <f>IF(Table1[[#This Row],[Education]]="Bachelors +",55,0)</f>
        <v>0</v>
      </c>
      <c r="Z92" s="6">
        <f>IF(Table1[[#This Row],[Salary]]&gt;=600,82.5,0)</f>
        <v>0</v>
      </c>
    </row>
    <row r="93" spans="1:26">
      <c r="A93" s="3">
        <f>Table1[[#This Row],[SL No.]]</f>
        <v>92</v>
      </c>
      <c r="B93" t="str">
        <f>Table1[[#This Row],[Case manager]]</f>
        <v>Malak</v>
      </c>
      <c r="C93" t="str">
        <f>Table1[[#This Row],[Ref No]]</f>
        <v>JCP/25/261707</v>
      </c>
      <c r="D93" t="str">
        <f>Table1[[#This Row],[Name]]</f>
        <v>Abdulla Hussain Abdulla</v>
      </c>
      <c r="E93" s="4">
        <f>'Placements 26'!F93</f>
        <v>46061</v>
      </c>
      <c r="F93" s="4" t="str">
        <f t="shared" ca="1" si="3"/>
        <v>Claimable</v>
      </c>
      <c r="G93" s="4" t="s">
        <v>171</v>
      </c>
      <c r="H93" s="4"/>
      <c r="I93" s="4">
        <v>46128</v>
      </c>
      <c r="J93">
        <f>IF(Table3[[#This Row],[Placement Fee &amp; Variables]]&gt;0,0,1)</f>
        <v>0</v>
      </c>
      <c r="K93" s="4">
        <f>Table3[[#This Row],[Joining Date]]+180</f>
        <v>46241</v>
      </c>
      <c r="L93" t="str">
        <f t="shared" ca="1" si="4"/>
        <v>Claimable</v>
      </c>
      <c r="N93">
        <f ca="1">IF(Table3[[#This Row],[6M Stat]]="Claimable",1,0)</f>
        <v>1</v>
      </c>
      <c r="O93" s="4">
        <f>Table3[[#This Row],[Joining Date]]+365</f>
        <v>46426</v>
      </c>
      <c r="Q93" t="str">
        <f t="shared" ca="1" si="5"/>
        <v/>
      </c>
      <c r="R93">
        <f ca="1">IF(Table3[[#This Row],[12 M Stat]]="Claimable",1,0)</f>
        <v>0</v>
      </c>
      <c r="S93">
        <f ca="1">Table3[[#This Row],[Placement claim Highlight]]+Table3[[#This Row],[Highlight rule 6M]]+Table3[[#This Row],[Highlight rule 12 M]]</f>
        <v>1</v>
      </c>
      <c r="T93" s="6">
        <f>SUM(Table3[[#This Row],[Placement Fee]:[Salary]])</f>
        <v>0</v>
      </c>
      <c r="U93" s="6"/>
      <c r="V93" s="6">
        <f>IF(Table1[[#This Row],[MoL]]="Yes",55,0)</f>
        <v>0</v>
      </c>
      <c r="W93" s="6">
        <f>IF(Table1[[#This Row],[Long MoL +3 Years]]="Yes",137.5,0)</f>
        <v>0</v>
      </c>
      <c r="X93" s="6">
        <f>IF(Table1[[#This Row],[Gender]]="Female",137.5,0)</f>
        <v>0</v>
      </c>
      <c r="Y93" s="6">
        <f>IF(Table1[[#This Row],[Education]]="Bachelors +",55,0)</f>
        <v>0</v>
      </c>
      <c r="Z93" s="6">
        <f>IF(Table1[[#This Row],[Salary]]&gt;=600,82.5,0)</f>
        <v>0</v>
      </c>
    </row>
    <row r="94" spans="1:26">
      <c r="A94" s="3">
        <f>Table1[[#This Row],[SL No.]]</f>
        <v>93</v>
      </c>
      <c r="B94" t="str">
        <f>Table1[[#This Row],[Case manager]]</f>
        <v>Dina</v>
      </c>
      <c r="C94" t="str">
        <f>Table1[[#This Row],[Ref No]]</f>
        <v>26/283501</v>
      </c>
      <c r="D94" t="str">
        <f>Table1[[#This Row],[Name]]</f>
        <v>AAMER ALI HASAN ALMUTAWA</v>
      </c>
      <c r="E94" s="4">
        <f>'Placements 26'!F94</f>
        <v>46078</v>
      </c>
      <c r="F94" s="4" t="str">
        <f t="shared" ca="1" si="3"/>
        <v>Claimable</v>
      </c>
      <c r="G94" s="4" t="s">
        <v>171</v>
      </c>
      <c r="H94" s="4" t="s">
        <v>1169</v>
      </c>
      <c r="I94" s="4">
        <v>46159</v>
      </c>
      <c r="J94">
        <f>IF(Table3[[#This Row],[Placement Fee &amp; Variables]]&gt;0,0,1)</f>
        <v>0</v>
      </c>
      <c r="K94" s="4">
        <f>Table3[[#This Row],[Joining Date]]+180</f>
        <v>46258</v>
      </c>
      <c r="L94" t="str">
        <f t="shared" ca="1" si="4"/>
        <v>Claimable</v>
      </c>
      <c r="N94">
        <f ca="1">IF(Table3[[#This Row],[6M Stat]]="Claimable",1,0)</f>
        <v>1</v>
      </c>
      <c r="O94" s="4">
        <f>Table3[[#This Row],[Joining Date]]+365</f>
        <v>46443</v>
      </c>
      <c r="Q94" t="str">
        <f t="shared" ca="1" si="5"/>
        <v/>
      </c>
      <c r="R94">
        <f ca="1">IF(Table3[[#This Row],[12 M Stat]]="Claimable",1,0)</f>
        <v>0</v>
      </c>
      <c r="S94">
        <f ca="1">Table3[[#This Row],[Placement claim Highlight]]+Table3[[#This Row],[Highlight rule 6M]]+Table3[[#This Row],[Highlight rule 12 M]]</f>
        <v>1</v>
      </c>
      <c r="T94" s="6">
        <f>SUM(Table3[[#This Row],[Placement Fee]:[Salary]])</f>
        <v>82.5</v>
      </c>
      <c r="U94" s="6"/>
      <c r="V94" s="6">
        <f>IF(Table1[[#This Row],[MoL]]="Yes",55,0)</f>
        <v>0</v>
      </c>
      <c r="W94" s="6">
        <f>IF(Table1[[#This Row],[Long MoL +3 Years]]="Yes",137.5,0)</f>
        <v>0</v>
      </c>
      <c r="X94" s="6">
        <f>IF(Table1[[#This Row],[Gender]]="Female",137.5,0)</f>
        <v>0</v>
      </c>
      <c r="Y94" s="6">
        <f>IF(Table1[[#This Row],[Education]]="Bachelors +",55,0)</f>
        <v>0</v>
      </c>
      <c r="Z94" s="6">
        <f>IF(Table1[[#This Row],[Salary]]&gt;=600,82.5,0)</f>
        <v>82.5</v>
      </c>
    </row>
    <row r="95" spans="1:26">
      <c r="A95" s="3">
        <f>Table1[[#This Row],[SL No.]]</f>
        <v>94</v>
      </c>
      <c r="B95" t="str">
        <f>Table1[[#This Row],[Case manager]]</f>
        <v>Malak</v>
      </c>
      <c r="C95" t="str">
        <f>Table1[[#This Row],[Ref No]]</f>
        <v>JCP/26/283428</v>
      </c>
      <c r="D95" t="str">
        <f>Table1[[#This Row],[Name]]</f>
        <v>mohammed ashoor hasan</v>
      </c>
      <c r="E95" s="4">
        <f>'Placements 26'!F95</f>
        <v>46068</v>
      </c>
      <c r="F95" s="4" t="str">
        <f t="shared" ca="1" si="3"/>
        <v>Claimable</v>
      </c>
      <c r="G95" s="4" t="s">
        <v>171</v>
      </c>
      <c r="H95" s="4"/>
      <c r="I95" s="4">
        <v>46128</v>
      </c>
      <c r="J95">
        <f>IF(Table3[[#This Row],[Placement Fee &amp; Variables]]&gt;0,0,1)</f>
        <v>0</v>
      </c>
      <c r="K95" s="4">
        <f>Table3[[#This Row],[Joining Date]]+180</f>
        <v>46248</v>
      </c>
      <c r="L95" t="str">
        <f t="shared" ca="1" si="4"/>
        <v>Claimable</v>
      </c>
      <c r="N95">
        <f ca="1">IF(Table3[[#This Row],[6M Stat]]="Claimable",1,0)</f>
        <v>1</v>
      </c>
      <c r="O95" s="4">
        <f>Table3[[#This Row],[Joining Date]]+365</f>
        <v>46433</v>
      </c>
      <c r="Q95" t="str">
        <f t="shared" ca="1" si="5"/>
        <v/>
      </c>
      <c r="R95">
        <f ca="1">IF(Table3[[#This Row],[12 M Stat]]="Claimable",1,0)</f>
        <v>0</v>
      </c>
      <c r="S95">
        <f ca="1">Table3[[#This Row],[Placement claim Highlight]]+Table3[[#This Row],[Highlight rule 6M]]+Table3[[#This Row],[Highlight rule 12 M]]</f>
        <v>1</v>
      </c>
      <c r="T95" s="6">
        <f>SUM(Table3[[#This Row],[Placement Fee]:[Salary]])</f>
        <v>192.5</v>
      </c>
      <c r="U95" s="6"/>
      <c r="V95" s="6">
        <f>IF(Table1[[#This Row],[MoL]]="Yes",55,0)</f>
        <v>55</v>
      </c>
      <c r="W95" s="6">
        <f>IF(Table1[[#This Row],[Long MoL +3 Years]]="Yes",137.5,0)</f>
        <v>137.5</v>
      </c>
      <c r="X95" s="6">
        <f>IF(Table1[[#This Row],[Gender]]="Female",137.5,0)</f>
        <v>0</v>
      </c>
      <c r="Y95" s="6">
        <f>IF(Table1[[#This Row],[Education]]="Bachelors +",55,0)</f>
        <v>0</v>
      </c>
      <c r="Z95" s="6">
        <f>IF(Table1[[#This Row],[Salary]]&gt;=600,82.5,0)</f>
        <v>0</v>
      </c>
    </row>
    <row r="96" spans="1:26">
      <c r="A96" s="3">
        <f>Table1[[#This Row],[SL No.]]</f>
        <v>95</v>
      </c>
      <c r="B96" t="str">
        <f>Table1[[#This Row],[Case manager]]</f>
        <v>Dina</v>
      </c>
      <c r="C96" t="str">
        <f>Table1[[#This Row],[Ref No]]</f>
        <v>JCP/26/286399</v>
      </c>
      <c r="D96" t="str">
        <f>Table1[[#This Row],[Name]]</f>
        <v>HASAN JAAFAR MOHAMED ALAALI</v>
      </c>
      <c r="E96" s="4">
        <f>'Placements 26'!F96</f>
        <v>46070</v>
      </c>
      <c r="F96" s="4" t="str">
        <f t="shared" ca="1" si="3"/>
        <v>Claimable</v>
      </c>
      <c r="G96" s="4" t="s">
        <v>171</v>
      </c>
      <c r="H96" s="4"/>
      <c r="I96" s="4">
        <v>46128</v>
      </c>
      <c r="J96">
        <f>IF(Table3[[#This Row],[Placement Fee &amp; Variables]]&gt;0,0,1)</f>
        <v>0</v>
      </c>
      <c r="K96" s="4">
        <f>Table3[[#This Row],[Joining Date]]+180</f>
        <v>46250</v>
      </c>
      <c r="L96" t="str">
        <f t="shared" ca="1" si="4"/>
        <v>Claimable</v>
      </c>
      <c r="N96">
        <f ca="1">IF(Table3[[#This Row],[6M Stat]]="Claimable",1,0)</f>
        <v>1</v>
      </c>
      <c r="O96" s="4">
        <f>Table3[[#This Row],[Joining Date]]+365</f>
        <v>46435</v>
      </c>
      <c r="Q96" t="str">
        <f t="shared" ca="1" si="5"/>
        <v/>
      </c>
      <c r="R96">
        <f ca="1">IF(Table3[[#This Row],[12 M Stat]]="Claimable",1,0)</f>
        <v>0</v>
      </c>
      <c r="S96">
        <f ca="1">Table3[[#This Row],[Placement claim Highlight]]+Table3[[#This Row],[Highlight rule 6M]]+Table3[[#This Row],[Highlight rule 12 M]]</f>
        <v>1</v>
      </c>
      <c r="T96" s="6">
        <f>SUM(Table3[[#This Row],[Placement Fee]:[Salary]])</f>
        <v>192.5</v>
      </c>
      <c r="U96" s="6"/>
      <c r="V96" s="6">
        <f>IF(Table1[[#This Row],[MoL]]="Yes",55,0)</f>
        <v>55</v>
      </c>
      <c r="W96" s="6">
        <f>IF(Table1[[#This Row],[Long MoL +3 Years]]="Yes",137.5,0)</f>
        <v>137.5</v>
      </c>
      <c r="X96" s="6">
        <f>IF(Table1[[#This Row],[Gender]]="Female",137.5,0)</f>
        <v>0</v>
      </c>
      <c r="Y96" s="6">
        <f>IF(Table1[[#This Row],[Education]]="Bachelors +",55,0)</f>
        <v>0</v>
      </c>
      <c r="Z96" s="6">
        <f>IF(Table1[[#This Row],[Salary]]&gt;=600,82.5,0)</f>
        <v>0</v>
      </c>
    </row>
    <row r="97" spans="1:26">
      <c r="A97" s="3">
        <f>Table1[[#This Row],[SL No.]]</f>
        <v>96</v>
      </c>
      <c r="B97" t="str">
        <f>Table1[[#This Row],[Case manager]]</f>
        <v>Meaad</v>
      </c>
      <c r="C97" t="str">
        <f>Table1[[#This Row],[Ref No]]</f>
        <v>JCP/26/285972</v>
      </c>
      <c r="D97" t="str">
        <f>Table1[[#This Row],[Name]]</f>
        <v>ali hassan abdulla</v>
      </c>
      <c r="E97" s="4">
        <f>'Placements 26'!F97</f>
        <v>46124</v>
      </c>
      <c r="F97" s="4" t="str">
        <f t="shared" ca="1" si="3"/>
        <v>Claimable</v>
      </c>
      <c r="G97" s="4" t="s">
        <v>38</v>
      </c>
      <c r="H97" s="4"/>
      <c r="I97" s="4">
        <v>46140</v>
      </c>
      <c r="J97">
        <f>IF(Table3[[#This Row],[Placement Fee &amp; Variables]]&gt;0,0,1)</f>
        <v>0</v>
      </c>
      <c r="K97" s="4">
        <f>Table3[[#This Row],[Joining Date]]+180</f>
        <v>46304</v>
      </c>
      <c r="L97" t="str">
        <f t="shared" ca="1" si="4"/>
        <v>Claimable</v>
      </c>
      <c r="N97">
        <f ca="1">IF(Table3[[#This Row],[6M Stat]]="Claimable",1,0)</f>
        <v>1</v>
      </c>
      <c r="O97" s="4">
        <f>Table3[[#This Row],[Joining Date]]+365</f>
        <v>46489</v>
      </c>
      <c r="Q97" t="str">
        <f t="shared" ca="1" si="5"/>
        <v/>
      </c>
      <c r="R97">
        <f ca="1">IF(Table3[[#This Row],[12 M Stat]]="Claimable",1,0)</f>
        <v>0</v>
      </c>
      <c r="S97">
        <f ca="1">Table3[[#This Row],[Placement claim Highlight]]+Table3[[#This Row],[Highlight rule 6M]]+Table3[[#This Row],[Highlight rule 12 M]]</f>
        <v>1</v>
      </c>
      <c r="T97" s="6">
        <f>SUM(Table3[[#This Row],[Placement Fee]:[Salary]])</f>
        <v>0</v>
      </c>
      <c r="U97" s="6"/>
      <c r="V97" s="6">
        <f>IF(Table1[[#This Row],[MoL]]="Yes",55,0)</f>
        <v>0</v>
      </c>
      <c r="W97" s="6">
        <f>IF(Table1[[#This Row],[Long MoL +3 Years]]="Yes",137.5,0)</f>
        <v>0</v>
      </c>
      <c r="X97" s="6">
        <f>IF(Table1[[#This Row],[Gender]]="Female",137.5,0)</f>
        <v>0</v>
      </c>
      <c r="Y97" s="6">
        <f>IF(Table1[[#This Row],[Education]]="Bachelors +",55,0)</f>
        <v>0</v>
      </c>
      <c r="Z97" s="6">
        <f>IF(Table1[[#This Row],[Salary]]&gt;=600,82.5,0)</f>
        <v>0</v>
      </c>
    </row>
    <row r="98" spans="1:26">
      <c r="A98" s="3">
        <f>Table1[[#This Row],[SL No.]]</f>
        <v>97</v>
      </c>
      <c r="B98" t="str">
        <f>Table1[[#This Row],[Case manager]]</f>
        <v>Husain</v>
      </c>
      <c r="C98" t="str">
        <f>Table1[[#This Row],[Ref No]]</f>
        <v>JCP/24/142442</v>
      </c>
      <c r="D98" t="str">
        <f>Table1[[#This Row],[Name]]</f>
        <v xml:space="preserve"> SAYED ALAA MOOSA MOHAMED FADHEL</v>
      </c>
      <c r="E98" s="4">
        <f>'Placements 26'!F98</f>
        <v>45931</v>
      </c>
      <c r="F98" s="4" t="str">
        <f t="shared" ref="F98:F142" ca="1" si="6">IF(S98&gt;=1,"Claimable","Claimed")</f>
        <v>Claimable</v>
      </c>
      <c r="G98" s="4"/>
      <c r="H98" s="4"/>
      <c r="J98">
        <f>IF(Table3[[#This Row],[Placement Fee &amp; Variables]]&gt;0,0,1)</f>
        <v>1</v>
      </c>
      <c r="K98" s="4">
        <f>Table3[[#This Row],[Joining Date]]+180</f>
        <v>46111</v>
      </c>
      <c r="L98" t="str">
        <f t="shared" ref="L98:L142" ca="1" si="7">IF(AND(M98="", K98&lt;=TODAY()), "Claimable", "")</f>
        <v>Claimable</v>
      </c>
      <c r="N98">
        <f ca="1">IF(Table3[[#This Row],[6M Stat]]="Claimable",1,0)</f>
        <v>1</v>
      </c>
      <c r="O98" s="4">
        <f>Table3[[#This Row],[Joining Date]]+365</f>
        <v>46296</v>
      </c>
      <c r="Q98" t="str">
        <f t="shared" ca="1" si="5"/>
        <v>Claimable</v>
      </c>
      <c r="R98">
        <f ca="1">IF(Table3[[#This Row],[12 M Stat]]="Claimable",1,0)</f>
        <v>1</v>
      </c>
      <c r="S98">
        <f ca="1">Table3[[#This Row],[Placement claim Highlight]]+Table3[[#This Row],[Highlight rule 6M]]+Table3[[#This Row],[Highlight rule 12 M]]</f>
        <v>3</v>
      </c>
      <c r="T98" s="6">
        <f>SUM(Table3[[#This Row],[Placement Fee]:[Salary]])</f>
        <v>55</v>
      </c>
      <c r="U98" s="6"/>
      <c r="V98" s="6">
        <f>IF(Table1[[#This Row],[MoL]]="Yes",55,0)</f>
        <v>0</v>
      </c>
      <c r="W98" s="6">
        <f>IF(Table1[[#This Row],[Long MoL +3 Years]]="Yes",137.5,0)</f>
        <v>0</v>
      </c>
      <c r="X98" s="6">
        <f>IF(Table1[[#This Row],[Gender]]="Female",137.5,0)</f>
        <v>0</v>
      </c>
      <c r="Y98" s="6">
        <f>IF(Table1[[#This Row],[Education]]="Bachelors +",55,0)</f>
        <v>55</v>
      </c>
      <c r="Z98" s="6">
        <f>IF(Table1[[#This Row],[Salary]]&gt;=600,82.5,0)</f>
        <v>0</v>
      </c>
    </row>
    <row r="99" spans="1:26">
      <c r="A99" s="3">
        <f>Table1[[#This Row],[SL No.]]</f>
        <v>98</v>
      </c>
      <c r="B99" t="str">
        <f>Table1[[#This Row],[Case manager]]</f>
        <v>Husain</v>
      </c>
      <c r="C99" t="str">
        <f>Table1[[#This Row],[Ref No]]</f>
        <v>JCP/25/233173</v>
      </c>
      <c r="D99" t="str">
        <f>Table1[[#This Row],[Name]]</f>
        <v xml:space="preserve"> KHALIFA EBRAHIM K. SAAD</v>
      </c>
      <c r="E99" s="4">
        <f>'Placements 26'!F99</f>
        <v>45935</v>
      </c>
      <c r="F99" s="4" t="str">
        <f t="shared" ca="1" si="6"/>
        <v>Claimable</v>
      </c>
      <c r="G99" s="4"/>
      <c r="H99" s="4"/>
      <c r="J99">
        <f>IF(Table3[[#This Row],[Placement Fee &amp; Variables]]&gt;0,0,1)</f>
        <v>1</v>
      </c>
      <c r="K99" s="4">
        <f>Table3[[#This Row],[Joining Date]]+180</f>
        <v>46115</v>
      </c>
      <c r="L99" t="str">
        <f t="shared" ca="1" si="7"/>
        <v>Claimable</v>
      </c>
      <c r="N99">
        <f ca="1">IF(Table3[[#This Row],[6M Stat]]="Claimable",1,0)</f>
        <v>1</v>
      </c>
      <c r="O99" s="4">
        <f>Table3[[#This Row],[Joining Date]]+365</f>
        <v>46300</v>
      </c>
      <c r="Q99" t="str">
        <f t="shared" ca="1" si="5"/>
        <v>Claimable</v>
      </c>
      <c r="R99">
        <f ca="1">IF(Table3[[#This Row],[12 M Stat]]="Claimable",1,0)</f>
        <v>1</v>
      </c>
      <c r="S99">
        <f ca="1">Table3[[#This Row],[Placement claim Highlight]]+Table3[[#This Row],[Highlight rule 6M]]+Table3[[#This Row],[Highlight rule 12 M]]</f>
        <v>3</v>
      </c>
      <c r="T99" s="6">
        <f>SUM(Table3[[#This Row],[Placement Fee]:[Salary]])</f>
        <v>55</v>
      </c>
      <c r="U99" s="6"/>
      <c r="V99" s="6">
        <f>IF(Table1[[#This Row],[MoL]]="Yes",55,0)</f>
        <v>55</v>
      </c>
      <c r="W99" s="6">
        <f>IF(Table1[[#This Row],[Long MoL +3 Years]]="Yes",137.5,0)</f>
        <v>0</v>
      </c>
      <c r="X99" s="6">
        <f>IF(Table1[[#This Row],[Gender]]="Female",137.5,0)</f>
        <v>0</v>
      </c>
      <c r="Y99" s="6">
        <f>IF(Table1[[#This Row],[Education]]="Bachelors +",55,0)</f>
        <v>0</v>
      </c>
      <c r="Z99" s="6">
        <f>IF(Table1[[#This Row],[Salary]]&gt;=600,82.5,0)</f>
        <v>0</v>
      </c>
    </row>
    <row r="100" spans="1:26">
      <c r="A100" s="3">
        <f>Table1[[#This Row],[SL No.]]</f>
        <v>99</v>
      </c>
      <c r="B100" t="str">
        <f>Table1[[#This Row],[Case manager]]</f>
        <v>Husain</v>
      </c>
      <c r="C100" t="str">
        <f>Table1[[#This Row],[Ref No]]</f>
        <v>JCP/25/244587</v>
      </c>
      <c r="D100" t="str">
        <f>Table1[[#This Row],[Name]]</f>
        <v>EBRAHIM NAEEM A. MARHOON</v>
      </c>
      <c r="E100" s="4">
        <f>'Placements 26'!F100</f>
        <v>45939</v>
      </c>
      <c r="F100" s="4" t="str">
        <f t="shared" ca="1" si="6"/>
        <v>Claimable</v>
      </c>
      <c r="G100" s="4"/>
      <c r="H100" s="4"/>
      <c r="J100">
        <f>IF(Table3[[#This Row],[Placement Fee &amp; Variables]]&gt;0,0,1)</f>
        <v>1</v>
      </c>
      <c r="K100" s="4">
        <f>Table3[[#This Row],[Joining Date]]+180</f>
        <v>46119</v>
      </c>
      <c r="L100" t="str">
        <f t="shared" ca="1" si="7"/>
        <v>Claimable</v>
      </c>
      <c r="N100">
        <f ca="1">IF(Table3[[#This Row],[6M Stat]]="Claimable",1,0)</f>
        <v>1</v>
      </c>
      <c r="O100" s="4">
        <f>Table3[[#This Row],[Joining Date]]+365</f>
        <v>46304</v>
      </c>
      <c r="Q100" t="str">
        <f t="shared" ca="1" si="5"/>
        <v>Claimable</v>
      </c>
      <c r="R100">
        <f ca="1">IF(Table3[[#This Row],[12 M Stat]]="Claimable",1,0)</f>
        <v>1</v>
      </c>
      <c r="S100">
        <f ca="1">Table3[[#This Row],[Placement claim Highlight]]+Table3[[#This Row],[Highlight rule 6M]]+Table3[[#This Row],[Highlight rule 12 M]]</f>
        <v>3</v>
      </c>
      <c r="T100" s="6">
        <f>SUM(Table3[[#This Row],[Placement Fee]:[Salary]])</f>
        <v>55</v>
      </c>
      <c r="U100" s="6"/>
      <c r="V100" s="6">
        <f>IF(Table1[[#This Row],[MoL]]="Yes",55,0)</f>
        <v>55</v>
      </c>
      <c r="W100" s="6">
        <f>IF(Table1[[#This Row],[Long MoL +3 Years]]="Yes",137.5,0)</f>
        <v>0</v>
      </c>
      <c r="X100" s="6">
        <f>IF(Table1[[#This Row],[Gender]]="Female",137.5,0)</f>
        <v>0</v>
      </c>
      <c r="Y100" s="6">
        <f>IF(Table1[[#This Row],[Education]]="Bachelors +",55,0)</f>
        <v>0</v>
      </c>
      <c r="Z100" s="6">
        <f>IF(Table1[[#This Row],[Salary]]&gt;=600,82.5,0)</f>
        <v>0</v>
      </c>
    </row>
    <row r="101" spans="1:26">
      <c r="A101" s="3">
        <f>Table1[[#This Row],[SL No.]]</f>
        <v>100</v>
      </c>
      <c r="B101" t="str">
        <f>Table1[[#This Row],[Case manager]]</f>
        <v>Husain</v>
      </c>
      <c r="C101" t="str">
        <f>Table1[[#This Row],[Ref No]]</f>
        <v>JCP/24/147404</v>
      </c>
      <c r="D101" t="str">
        <f>Table1[[#This Row],[Name]]</f>
        <v>ALI HAFEDH ALI BUKAMAL</v>
      </c>
      <c r="E101" s="4">
        <f>'Placements 26'!F101</f>
        <v>45942</v>
      </c>
      <c r="F101" s="4" t="str">
        <f t="shared" ca="1" si="6"/>
        <v>Claimable</v>
      </c>
      <c r="G101" s="4"/>
      <c r="H101" s="4"/>
      <c r="J101">
        <f>IF(Table3[[#This Row],[Placement Fee &amp; Variables]]&gt;0,0,1)</f>
        <v>1</v>
      </c>
      <c r="K101" s="4">
        <f>Table3[[#This Row],[Joining Date]]+180</f>
        <v>46122</v>
      </c>
      <c r="L101" t="str">
        <f t="shared" ca="1" si="7"/>
        <v>Claimable</v>
      </c>
      <c r="N101">
        <f ca="1">IF(Table3[[#This Row],[6M Stat]]="Claimable",1,0)</f>
        <v>1</v>
      </c>
      <c r="O101" s="4">
        <f>Table3[[#This Row],[Joining Date]]+365</f>
        <v>46307</v>
      </c>
      <c r="Q101" t="str">
        <f t="shared" ca="1" si="5"/>
        <v>Claimable</v>
      </c>
      <c r="R101">
        <f ca="1">IF(Table3[[#This Row],[12 M Stat]]="Claimable",1,0)</f>
        <v>1</v>
      </c>
      <c r="S101">
        <f ca="1">Table3[[#This Row],[Placement claim Highlight]]+Table3[[#This Row],[Highlight rule 6M]]+Table3[[#This Row],[Highlight rule 12 M]]</f>
        <v>3</v>
      </c>
      <c r="T101" s="6">
        <f>SUM(Table3[[#This Row],[Placement Fee]:[Salary]])</f>
        <v>110</v>
      </c>
      <c r="U101" s="6"/>
      <c r="V101" s="6">
        <f>IF(Table1[[#This Row],[MoL]]="Yes",55,0)</f>
        <v>55</v>
      </c>
      <c r="W101" s="6">
        <f>IF(Table1[[#This Row],[Long MoL +3 Years]]="Yes",137.5,0)</f>
        <v>0</v>
      </c>
      <c r="X101" s="6">
        <f>IF(Table1[[#This Row],[Gender]]="Female",137.5,0)</f>
        <v>0</v>
      </c>
      <c r="Y101" s="6">
        <f>IF(Table1[[#This Row],[Education]]="Bachelors +",55,0)</f>
        <v>55</v>
      </c>
      <c r="Z101" s="6">
        <f>IF(Table1[[#This Row],[Salary]]&gt;=600,82.5,0)</f>
        <v>0</v>
      </c>
    </row>
    <row r="102" spans="1:26">
      <c r="A102" s="3">
        <f>Table1[[#This Row],[SL No.]]</f>
        <v>101</v>
      </c>
      <c r="B102" t="str">
        <f>Table1[[#This Row],[Case manager]]</f>
        <v>Husain</v>
      </c>
      <c r="C102" t="str">
        <f>Table1[[#This Row],[Ref No]]</f>
        <v>JCP/25/244921</v>
      </c>
      <c r="D102" t="str">
        <f>Table1[[#This Row],[Name]]</f>
        <v xml:space="preserve"> Firas Ali  Abdulla</v>
      </c>
      <c r="E102" s="4">
        <f>'Placements 26'!F102</f>
        <v>45942</v>
      </c>
      <c r="F102" s="4" t="str">
        <f t="shared" ca="1" si="6"/>
        <v>Claimable</v>
      </c>
      <c r="G102" s="4"/>
      <c r="H102" s="4"/>
      <c r="J102">
        <f>IF(Table3[[#This Row],[Placement Fee &amp; Variables]]&gt;0,0,1)</f>
        <v>1</v>
      </c>
      <c r="K102" s="4">
        <f>Table3[[#This Row],[Joining Date]]+180</f>
        <v>46122</v>
      </c>
      <c r="L102" t="str">
        <f t="shared" ca="1" si="7"/>
        <v>Claimable</v>
      </c>
      <c r="N102">
        <f ca="1">IF(Table3[[#This Row],[6M Stat]]="Claimable",1,0)</f>
        <v>1</v>
      </c>
      <c r="O102" s="4">
        <f>Table3[[#This Row],[Joining Date]]+365</f>
        <v>46307</v>
      </c>
      <c r="Q102" t="str">
        <f t="shared" ca="1" si="5"/>
        <v>Claimable</v>
      </c>
      <c r="R102">
        <f ca="1">IF(Table3[[#This Row],[12 M Stat]]="Claimable",1,0)</f>
        <v>1</v>
      </c>
      <c r="S102">
        <f ca="1">Table3[[#This Row],[Placement claim Highlight]]+Table3[[#This Row],[Highlight rule 6M]]+Table3[[#This Row],[Highlight rule 12 M]]</f>
        <v>3</v>
      </c>
      <c r="T102" s="6">
        <f>SUM(Table3[[#This Row],[Placement Fee]:[Salary]])</f>
        <v>137.5</v>
      </c>
      <c r="U102" s="6"/>
      <c r="V102" s="6">
        <f>IF(Table1[[#This Row],[MoL]]="Yes",55,0)</f>
        <v>0</v>
      </c>
      <c r="W102" s="6">
        <f>IF(Table1[[#This Row],[Long MoL +3 Years]]="Yes",137.5,0)</f>
        <v>0</v>
      </c>
      <c r="X102" s="6">
        <f>IF(Table1[[#This Row],[Gender]]="Female",137.5,0)</f>
        <v>0</v>
      </c>
      <c r="Y102" s="6">
        <f>IF(Table1[[#This Row],[Education]]="Bachelors +",55,0)</f>
        <v>55</v>
      </c>
      <c r="Z102" s="6">
        <f>IF(Table1[[#This Row],[Salary]]&gt;=600,82.5,0)</f>
        <v>82.5</v>
      </c>
    </row>
    <row r="103" spans="1:26">
      <c r="A103" s="3">
        <f>Table1[[#This Row],[SL No.]]</f>
        <v>102</v>
      </c>
      <c r="B103" t="str">
        <f>Table1[[#This Row],[Case manager]]</f>
        <v>Husain</v>
      </c>
      <c r="C103" t="str">
        <f>Table1[[#This Row],[Ref No]]</f>
        <v>JCP/24/109221</v>
      </c>
      <c r="D103" t="str">
        <f>Table1[[#This Row],[Name]]</f>
        <v>ALI GHULAM MOHAMED AMEERI</v>
      </c>
      <c r="E103" s="4">
        <f>'Placements 26'!F103</f>
        <v>45931</v>
      </c>
      <c r="F103" s="4" t="str">
        <f t="shared" ca="1" si="6"/>
        <v>Claimable</v>
      </c>
      <c r="G103" s="4"/>
      <c r="H103" s="4"/>
      <c r="J103">
        <f>IF(Table3[[#This Row],[Placement Fee &amp; Variables]]&gt;0,0,1)</f>
        <v>1</v>
      </c>
      <c r="K103" s="4">
        <f>Table3[[#This Row],[Joining Date]]+180</f>
        <v>46111</v>
      </c>
      <c r="L103" t="str">
        <f t="shared" ca="1" si="7"/>
        <v>Claimable</v>
      </c>
      <c r="N103">
        <f ca="1">IF(Table3[[#This Row],[6M Stat]]="Claimable",1,0)</f>
        <v>1</v>
      </c>
      <c r="O103" s="4">
        <f>Table3[[#This Row],[Joining Date]]+365</f>
        <v>46296</v>
      </c>
      <c r="Q103" t="str">
        <f t="shared" ca="1" si="5"/>
        <v>Claimable</v>
      </c>
      <c r="R103">
        <f ca="1">IF(Table3[[#This Row],[12 M Stat]]="Claimable",1,0)</f>
        <v>1</v>
      </c>
      <c r="S103">
        <f ca="1">Table3[[#This Row],[Placement claim Highlight]]+Table3[[#This Row],[Highlight rule 6M]]+Table3[[#This Row],[Highlight rule 12 M]]</f>
        <v>3</v>
      </c>
      <c r="T103" s="6">
        <f>SUM(Table3[[#This Row],[Placement Fee]:[Salary]])</f>
        <v>247.5</v>
      </c>
      <c r="U103" s="6"/>
      <c r="V103" s="6">
        <f>IF(Table1[[#This Row],[MoL]]="Yes",55,0)</f>
        <v>55</v>
      </c>
      <c r="W103" s="6">
        <f>IF(Table1[[#This Row],[Long MoL +3 Years]]="Yes",137.5,0)</f>
        <v>137.5</v>
      </c>
      <c r="X103" s="6">
        <f>IF(Table1[[#This Row],[Gender]]="Female",137.5,0)</f>
        <v>0</v>
      </c>
      <c r="Y103" s="6">
        <f>IF(Table1[[#This Row],[Education]]="Bachelors +",55,0)</f>
        <v>55</v>
      </c>
      <c r="Z103" s="6">
        <f>IF(Table1[[#This Row],[Salary]]&gt;=600,82.5,0)</f>
        <v>0</v>
      </c>
    </row>
    <row r="104" spans="1:26">
      <c r="A104" s="3">
        <f>Table1[[#This Row],[SL No.]]</f>
        <v>103</v>
      </c>
      <c r="B104" t="str">
        <f>Table1[[#This Row],[Case manager]]</f>
        <v>Husain</v>
      </c>
      <c r="C104" t="str">
        <f>Table1[[#This Row],[Ref No]]</f>
        <v>JCP/25/184255</v>
      </c>
      <c r="D104" t="str">
        <f>Table1[[#This Row],[Name]]</f>
        <v>hasan mohamed taqi</v>
      </c>
      <c r="E104" s="4">
        <f>'Placements 26'!F104</f>
        <v>45760</v>
      </c>
      <c r="F104" s="4" t="str">
        <f t="shared" ca="1" si="6"/>
        <v>Claimable</v>
      </c>
      <c r="G104" s="4"/>
      <c r="H104" s="4"/>
      <c r="J104">
        <f>IF(Table3[[#This Row],[Placement Fee &amp; Variables]]&gt;0,0,1)</f>
        <v>1</v>
      </c>
      <c r="K104" s="4">
        <f>Table3[[#This Row],[Joining Date]]+180</f>
        <v>45940</v>
      </c>
      <c r="L104" t="str">
        <f t="shared" ca="1" si="7"/>
        <v>Claimable</v>
      </c>
      <c r="N104">
        <f ca="1">IF(Table3[[#This Row],[6M Stat]]="Claimable",1,0)</f>
        <v>1</v>
      </c>
      <c r="O104" s="4">
        <f>Table3[[#This Row],[Joining Date]]+365</f>
        <v>46125</v>
      </c>
      <c r="Q104" t="str">
        <f t="shared" ca="1" si="5"/>
        <v>Claimable</v>
      </c>
      <c r="R104">
        <f ca="1">IF(Table3[[#This Row],[12 M Stat]]="Claimable",1,0)</f>
        <v>1</v>
      </c>
      <c r="S104">
        <f ca="1">Table3[[#This Row],[Placement claim Highlight]]+Table3[[#This Row],[Highlight rule 6M]]+Table3[[#This Row],[Highlight rule 12 M]]</f>
        <v>3</v>
      </c>
      <c r="T104" s="6">
        <f>SUM(Table3[[#This Row],[Placement Fee]:[Salary]])</f>
        <v>55</v>
      </c>
      <c r="U104" s="6"/>
      <c r="V104" s="6">
        <f>IF(Table1[[#This Row],[MoL]]="Yes",55,0)</f>
        <v>0</v>
      </c>
      <c r="W104" s="6">
        <f>IF(Table1[[#This Row],[Long MoL +3 Years]]="Yes",137.5,0)</f>
        <v>0</v>
      </c>
      <c r="X104" s="6">
        <f>IF(Table1[[#This Row],[Gender]]="Female",137.5,0)</f>
        <v>0</v>
      </c>
      <c r="Y104" s="6">
        <f>IF(Table1[[#This Row],[Education]]="Bachelors +",55,0)</f>
        <v>55</v>
      </c>
      <c r="Z104" s="6">
        <f>IF(Table1[[#This Row],[Salary]]&gt;=600,82.5,0)</f>
        <v>0</v>
      </c>
    </row>
    <row r="105" spans="1:26">
      <c r="A105" s="3">
        <f>Table1[[#This Row],[SL No.]]</f>
        <v>104</v>
      </c>
      <c r="B105" t="str">
        <f>Table1[[#This Row],[Case manager]]</f>
        <v>Zainab Mattar</v>
      </c>
      <c r="C105" t="str">
        <f>Table1[[#This Row],[Ref No]]</f>
        <v>JCP/26/288849</v>
      </c>
      <c r="D105" t="str">
        <f>Table1[[#This Row],[Name]]</f>
        <v xml:space="preserve"> فاطمه جاسم عبدالله</v>
      </c>
      <c r="E105" s="4">
        <f>'Placements 26'!F105</f>
        <v>46113</v>
      </c>
      <c r="F105" s="4" t="str">
        <f t="shared" ca="1" si="6"/>
        <v>Claimable</v>
      </c>
      <c r="G105" s="4"/>
      <c r="H105" s="4"/>
      <c r="J105">
        <f>IF(Table3[[#This Row],[Placement Fee &amp; Variables]]&gt;0,0,1)</f>
        <v>1</v>
      </c>
      <c r="K105" s="4">
        <f>Table3[[#This Row],[Joining Date]]+180</f>
        <v>46293</v>
      </c>
      <c r="L105" t="str">
        <f t="shared" ca="1" si="7"/>
        <v>Claimable</v>
      </c>
      <c r="N105">
        <f ca="1">IF(Table3[[#This Row],[6M Stat]]="Claimable",1,0)</f>
        <v>1</v>
      </c>
      <c r="O105" s="4">
        <f>Table3[[#This Row],[Joining Date]]+365</f>
        <v>46478</v>
      </c>
      <c r="Q105" t="str">
        <f t="shared" ca="1" si="5"/>
        <v/>
      </c>
      <c r="R105">
        <f ca="1">IF(Table3[[#This Row],[12 M Stat]]="Claimable",1,0)</f>
        <v>0</v>
      </c>
      <c r="S105">
        <f ca="1">Table3[[#This Row],[Placement claim Highlight]]+Table3[[#This Row],[Highlight rule 6M]]+Table3[[#This Row],[Highlight rule 12 M]]</f>
        <v>2</v>
      </c>
      <c r="T105" s="6">
        <f>SUM(Table3[[#This Row],[Placement Fee]:[Salary]])</f>
        <v>192.5</v>
      </c>
      <c r="U105" s="6"/>
      <c r="V105" s="6">
        <f>IF(Table1[[#This Row],[MoL]]="Yes",55,0)</f>
        <v>0</v>
      </c>
      <c r="W105" s="6">
        <f>IF(Table1[[#This Row],[Long MoL +3 Years]]="Yes",137.5,0)</f>
        <v>0</v>
      </c>
      <c r="X105" s="6">
        <f>IF(Table1[[#This Row],[Gender]]="Female",137.5,0)</f>
        <v>137.5</v>
      </c>
      <c r="Y105" s="6">
        <f>IF(Table1[[#This Row],[Education]]="Bachelors +",55,0)</f>
        <v>55</v>
      </c>
      <c r="Z105" s="6">
        <f>IF(Table1[[#This Row],[Salary]]&gt;=600,82.5,0)</f>
        <v>0</v>
      </c>
    </row>
    <row r="106" spans="1:26">
      <c r="A106" s="3">
        <f>Table1[[#This Row],[SL No.]]</f>
        <v>105</v>
      </c>
      <c r="B106" t="str">
        <f>Table1[[#This Row],[Case manager]]</f>
        <v>Husain</v>
      </c>
      <c r="C106" t="str">
        <f>Table1[[#This Row],[Ref No]]</f>
        <v>JCP/25/163920</v>
      </c>
      <c r="D106" t="str">
        <f>Table1[[#This Row],[Name]]</f>
        <v xml:space="preserve"> MOHAMED ALI NAJIMO ALRAYASHI</v>
      </c>
      <c r="E106" s="4">
        <f>'Placements 26'!F106</f>
        <v>45763</v>
      </c>
      <c r="F106" s="4" t="str">
        <f t="shared" ca="1" si="6"/>
        <v>Claimable</v>
      </c>
      <c r="G106" s="4"/>
      <c r="H106" s="4"/>
      <c r="J106">
        <f>IF(Table3[[#This Row],[Placement Fee &amp; Variables]]&gt;0,0,1)</f>
        <v>1</v>
      </c>
      <c r="K106" s="4">
        <f>Table3[[#This Row],[Joining Date]]+180</f>
        <v>45943</v>
      </c>
      <c r="L106" t="str">
        <f t="shared" ca="1" si="7"/>
        <v>Claimable</v>
      </c>
      <c r="N106">
        <f ca="1">IF(Table3[[#This Row],[6M Stat]]="Claimable",1,0)</f>
        <v>1</v>
      </c>
      <c r="O106" s="4">
        <f>Table3[[#This Row],[Joining Date]]+365</f>
        <v>46128</v>
      </c>
      <c r="Q106" t="str">
        <f t="shared" ca="1" si="5"/>
        <v>Claimable</v>
      </c>
      <c r="R106">
        <f ca="1">IF(Table3[[#This Row],[12 M Stat]]="Claimable",1,0)</f>
        <v>1</v>
      </c>
      <c r="S106">
        <f ca="1">Table3[[#This Row],[Placement claim Highlight]]+Table3[[#This Row],[Highlight rule 6M]]+Table3[[#This Row],[Highlight rule 12 M]]</f>
        <v>3</v>
      </c>
      <c r="T106" s="6">
        <f>SUM(Table3[[#This Row],[Placement Fee]:[Salary]])</f>
        <v>110</v>
      </c>
      <c r="U106" s="6"/>
      <c r="V106" s="6">
        <f>IF(Table1[[#This Row],[MoL]]="Yes",55,0)</f>
        <v>55</v>
      </c>
      <c r="W106" s="6">
        <f>IF(Table1[[#This Row],[Long MoL +3 Years]]="Yes",137.5,0)</f>
        <v>0</v>
      </c>
      <c r="X106" s="6">
        <f>IF(Table1[[#This Row],[Gender]]="Female",137.5,0)</f>
        <v>0</v>
      </c>
      <c r="Y106" s="6">
        <f>IF(Table1[[#This Row],[Education]]="Bachelors +",55,0)</f>
        <v>55</v>
      </c>
      <c r="Z106" s="6">
        <f>IF(Table1[[#This Row],[Salary]]&gt;=600,82.5,0)</f>
        <v>0</v>
      </c>
    </row>
    <row r="107" spans="1:26">
      <c r="A107" s="3">
        <f>Table1[[#This Row],[SL No.]]</f>
        <v>106</v>
      </c>
      <c r="B107" t="str">
        <f>Table1[[#This Row],[Case manager]]</f>
        <v>Husain</v>
      </c>
      <c r="C107" t="str">
        <f>Table1[[#This Row],[Ref No]]</f>
        <v>JCP/25/176279</v>
      </c>
      <c r="D107" t="str">
        <f>Table1[[#This Row],[Name]]</f>
        <v>AWADH ATEF M. ALATEF</v>
      </c>
      <c r="E107" s="4">
        <f>'Placements 26'!F107</f>
        <v>45741</v>
      </c>
      <c r="F107" s="4" t="str">
        <f t="shared" ca="1" si="6"/>
        <v>Claimable</v>
      </c>
      <c r="G107" s="4"/>
      <c r="H107" s="4"/>
      <c r="J107">
        <f>IF(Table3[[#This Row],[Placement Fee &amp; Variables]]&gt;0,0,1)</f>
        <v>1</v>
      </c>
      <c r="K107" s="4">
        <f>Table3[[#This Row],[Joining Date]]+180</f>
        <v>45921</v>
      </c>
      <c r="L107" t="str">
        <f t="shared" ca="1" si="7"/>
        <v>Claimable</v>
      </c>
      <c r="N107">
        <f ca="1">IF(Table3[[#This Row],[6M Stat]]="Claimable",1,0)</f>
        <v>1</v>
      </c>
      <c r="O107" s="4">
        <f>Table3[[#This Row],[Joining Date]]+365</f>
        <v>46106</v>
      </c>
      <c r="Q107" t="str">
        <f t="shared" ca="1" si="5"/>
        <v>Claimable</v>
      </c>
      <c r="R107">
        <f ca="1">IF(Table3[[#This Row],[12 M Stat]]="Claimable",1,0)</f>
        <v>1</v>
      </c>
      <c r="S107">
        <f ca="1">Table3[[#This Row],[Placement claim Highlight]]+Table3[[#This Row],[Highlight rule 6M]]+Table3[[#This Row],[Highlight rule 12 M]]</f>
        <v>3</v>
      </c>
      <c r="T107" s="6">
        <f>SUM(Table3[[#This Row],[Placement Fee]:[Salary]])</f>
        <v>0</v>
      </c>
      <c r="U107" s="6"/>
      <c r="V107" s="6">
        <f>IF(Table1[[#This Row],[MoL]]="Yes",55,0)</f>
        <v>0</v>
      </c>
      <c r="W107" s="6">
        <f>IF(Table1[[#This Row],[Long MoL +3 Years]]="Yes",137.5,0)</f>
        <v>0</v>
      </c>
      <c r="X107" s="6">
        <f>IF(Table1[[#This Row],[Gender]]="Female",137.5,0)</f>
        <v>0</v>
      </c>
      <c r="Y107" s="6">
        <f>IF(Table1[[#This Row],[Education]]="Bachelors +",55,0)</f>
        <v>0</v>
      </c>
      <c r="Z107" s="6">
        <f>IF(Table1[[#This Row],[Salary]]&gt;=600,82.5,0)</f>
        <v>0</v>
      </c>
    </row>
    <row r="108" spans="1:26">
      <c r="A108" s="3">
        <f>Table1[[#This Row],[SL No.]]</f>
        <v>107</v>
      </c>
      <c r="B108" t="str">
        <f>Table1[[#This Row],[Case manager]]</f>
        <v>Husain</v>
      </c>
      <c r="C108" t="str">
        <f>Table1[[#This Row],[Ref No]]</f>
        <v>JCP/25/181964</v>
      </c>
      <c r="D108" t="str">
        <f>Table1[[#This Row],[Name]]</f>
        <v xml:space="preserve"> SAMAR AMER HASAN ZAINUDDIN</v>
      </c>
      <c r="E108" s="4">
        <f>'Placements 26'!F108</f>
        <v>45751</v>
      </c>
      <c r="F108" s="4" t="str">
        <f t="shared" ca="1" si="6"/>
        <v>Claimable</v>
      </c>
      <c r="G108" s="4"/>
      <c r="H108" s="4"/>
      <c r="J108">
        <f>IF(Table3[[#This Row],[Placement Fee &amp; Variables]]&gt;0,0,1)</f>
        <v>1</v>
      </c>
      <c r="K108" s="4">
        <f>Table3[[#This Row],[Joining Date]]+180</f>
        <v>45931</v>
      </c>
      <c r="L108" t="str">
        <f t="shared" ca="1" si="7"/>
        <v>Claimable</v>
      </c>
      <c r="N108">
        <f ca="1">IF(Table3[[#This Row],[6M Stat]]="Claimable",1,0)</f>
        <v>1</v>
      </c>
      <c r="O108" s="4">
        <f>Table3[[#This Row],[Joining Date]]+365</f>
        <v>46116</v>
      </c>
      <c r="Q108" t="str">
        <f t="shared" ca="1" si="5"/>
        <v>Claimable</v>
      </c>
      <c r="R108">
        <f ca="1">IF(Table3[[#This Row],[12 M Stat]]="Claimable",1,0)</f>
        <v>1</v>
      </c>
      <c r="S108">
        <f ca="1">Table3[[#This Row],[Placement claim Highlight]]+Table3[[#This Row],[Highlight rule 6M]]+Table3[[#This Row],[Highlight rule 12 M]]</f>
        <v>3</v>
      </c>
      <c r="T108" s="6">
        <f>SUM(Table3[[#This Row],[Placement Fee]:[Salary]])</f>
        <v>275</v>
      </c>
      <c r="U108" s="6"/>
      <c r="V108" s="6">
        <f>IF(Table1[[#This Row],[MoL]]="Yes",55,0)</f>
        <v>0</v>
      </c>
      <c r="W108" s="6">
        <f>IF(Table1[[#This Row],[Long MoL +3 Years]]="Yes",137.5,0)</f>
        <v>0</v>
      </c>
      <c r="X108" s="6">
        <f>IF(Table1[[#This Row],[Gender]]="Female",137.5,0)</f>
        <v>137.5</v>
      </c>
      <c r="Y108" s="6">
        <f>IF(Table1[[#This Row],[Education]]="Bachelors +",55,0)</f>
        <v>55</v>
      </c>
      <c r="Z108" s="6">
        <f>IF(Table1[[#This Row],[Salary]]&gt;=600,82.5,0)</f>
        <v>82.5</v>
      </c>
    </row>
    <row r="109" spans="1:26">
      <c r="A109" s="3">
        <f>Table1[[#This Row],[SL No.]]</f>
        <v>108</v>
      </c>
      <c r="B109" t="str">
        <f>Table1[[#This Row],[Case manager]]</f>
        <v>Husain</v>
      </c>
      <c r="C109" t="str">
        <f>Table1[[#This Row],[Ref No]]</f>
        <v>JCP/24/141182</v>
      </c>
      <c r="D109" t="str">
        <f>Table1[[#This Row],[Name]]</f>
        <v>SAYED HASAN HAMZA HUSAIN JAAFAR</v>
      </c>
      <c r="E109" s="4">
        <f>'Placements 26'!F109</f>
        <v>45767</v>
      </c>
      <c r="F109" s="4" t="str">
        <f t="shared" ca="1" si="6"/>
        <v>Claimable</v>
      </c>
      <c r="G109" s="4"/>
      <c r="H109" s="4"/>
      <c r="J109">
        <f>IF(Table3[[#This Row],[Placement Fee &amp; Variables]]&gt;0,0,1)</f>
        <v>1</v>
      </c>
      <c r="K109" s="4">
        <f>Table3[[#This Row],[Joining Date]]+180</f>
        <v>45947</v>
      </c>
      <c r="L109" t="str">
        <f t="shared" ca="1" si="7"/>
        <v>Claimable</v>
      </c>
      <c r="N109">
        <f ca="1">IF(Table3[[#This Row],[6M Stat]]="Claimable",1,0)</f>
        <v>1</v>
      </c>
      <c r="O109" s="4">
        <f>Table3[[#This Row],[Joining Date]]+365</f>
        <v>46132</v>
      </c>
      <c r="Q109" t="str">
        <f ca="1">IF(AND(P110="", O110&lt;=TODAY()), "Claimable", "")</f>
        <v>Claimable</v>
      </c>
      <c r="R109">
        <f ca="1">IF(Table3[[#This Row],[12 M Stat]]="Claimable",1,0)</f>
        <v>1</v>
      </c>
      <c r="S109">
        <f ca="1">Table3[[#This Row],[Placement claim Highlight]]+Table3[[#This Row],[Highlight rule 6M]]+Table3[[#This Row],[Highlight rule 12 M]]</f>
        <v>3</v>
      </c>
      <c r="T109" s="6">
        <f>SUM(Table3[[#This Row],[Placement Fee]:[Salary]])</f>
        <v>137.5</v>
      </c>
      <c r="U109" s="6"/>
      <c r="V109" s="6">
        <f>IF(Table1[[#This Row],[MoL]]="Yes",55,0)</f>
        <v>0</v>
      </c>
      <c r="W109" s="6">
        <f>IF(Table1[[#This Row],[Long MoL +3 Years]]="Yes",137.5,0)</f>
        <v>0</v>
      </c>
      <c r="X109" s="6">
        <f>IF(Table1[[#This Row],[Gender]]="Female",137.5,0)</f>
        <v>0</v>
      </c>
      <c r="Y109" s="6">
        <f>IF(Table1[[#This Row],[Education]]="Bachelors +",55,0)</f>
        <v>55</v>
      </c>
      <c r="Z109" s="6">
        <f>IF(Table1[[#This Row],[Salary]]&gt;=600,82.5,0)</f>
        <v>82.5</v>
      </c>
    </row>
    <row r="110" spans="1:26">
      <c r="A110" s="3">
        <f>Table1[[#This Row],[SL No.]]</f>
        <v>109</v>
      </c>
      <c r="B110" t="str">
        <f>Table1[[#This Row],[Case manager]]</f>
        <v>Malak</v>
      </c>
      <c r="C110" t="str">
        <f>Table1[[#This Row],[Ref No]]</f>
        <v>JCP/25/229030</v>
      </c>
      <c r="D110" t="str">
        <f>Table1[[#This Row],[Name]]</f>
        <v>No Placement Recorded</v>
      </c>
      <c r="E110" s="4">
        <f>'Placements 26'!F110</f>
        <v>45931</v>
      </c>
      <c r="F110" s="4" t="e">
        <f t="shared" ca="1" si="6"/>
        <v>#REF!</v>
      </c>
      <c r="G110" s="4"/>
      <c r="H110" s="4"/>
      <c r="J110">
        <f>IF(Table3[[#This Row],[Placement Fee &amp; Variables]]&gt;0,0,1)</f>
        <v>1</v>
      </c>
      <c r="K110" s="4">
        <f>Table3[[#This Row],[Joining Date]]+180</f>
        <v>46111</v>
      </c>
      <c r="L110" t="str">
        <f t="shared" ca="1" si="7"/>
        <v>Claimable</v>
      </c>
      <c r="N110">
        <f ca="1">IF(Table3[[#This Row],[6M Stat]]="Claimable",1,0)</f>
        <v>1</v>
      </c>
      <c r="O110" s="4">
        <f>Table3[[#This Row],[Joining Date]]+365</f>
        <v>46296</v>
      </c>
      <c r="Q110" t="e">
        <f ca="1">IF(AND(#REF!="",#REF!&lt;= TODAY()), "Claimable", "")</f>
        <v>#REF!</v>
      </c>
      <c r="R110" t="e">
        <f ca="1">IF(Table3[[#This Row],[12 M Stat]]="Claimable",1,0)</f>
        <v>#REF!</v>
      </c>
      <c r="S110" t="e">
        <f ca="1">Table3[[#This Row],[Placement claim Highlight]]+Table3[[#This Row],[Highlight rule 6M]]+Table3[[#This Row],[Highlight rule 12 M]]</f>
        <v>#REF!</v>
      </c>
      <c r="T110" s="6">
        <f>SUM(Table3[[#This Row],[Placement Fee]:[Salary]])</f>
        <v>0</v>
      </c>
      <c r="U110" s="6"/>
      <c r="V110" s="6">
        <f>IF(Table1[[#This Row],[MoL]]="Yes",55,0)</f>
        <v>0</v>
      </c>
      <c r="W110" s="6">
        <f>IF(Table1[[#This Row],[Long MoL +3 Years]]="Yes",137.5,0)</f>
        <v>0</v>
      </c>
      <c r="X110" s="6">
        <f>IF(Table1[[#This Row],[Gender]]="Female",137.5,0)</f>
        <v>0</v>
      </c>
      <c r="Y110" s="6">
        <f>IF(Table1[[#This Row],[Education]]="Bachelors +",55,0)</f>
        <v>0</v>
      </c>
      <c r="Z110" s="6">
        <f>IF(Table1[[#This Row],[Salary]]&gt;=600,82.5,0)</f>
        <v>0</v>
      </c>
    </row>
    <row r="111" spans="1:26">
      <c r="A111" s="3">
        <f>Table1[[#This Row],[SL No.]]</f>
        <v>110</v>
      </c>
      <c r="B111" t="str">
        <f>Table1[[#This Row],[Case manager]]</f>
        <v>Zainab Mattar</v>
      </c>
      <c r="C111" t="str">
        <f>Table1[[#This Row],[Ref No]]</f>
        <v>JCP/25/174409</v>
      </c>
      <c r="D111" t="str">
        <f>Table1[[#This Row],[Name]]</f>
        <v>No Placement Recorded</v>
      </c>
      <c r="E111" s="4">
        <f>'Placements 26'!F111</f>
        <v>45719</v>
      </c>
      <c r="F111" s="4" t="str">
        <f t="shared" ca="1" si="6"/>
        <v>Claimable</v>
      </c>
      <c r="G111" s="4"/>
      <c r="H111" s="4"/>
      <c r="J111">
        <f>IF(Table3[[#This Row],[Placement Fee &amp; Variables]]&gt;0,0,1)</f>
        <v>1</v>
      </c>
      <c r="K111" s="4">
        <f>Table3[[#This Row],[Joining Date]]+180</f>
        <v>45899</v>
      </c>
      <c r="L111" t="str">
        <f t="shared" ca="1" si="7"/>
        <v>Claimable</v>
      </c>
      <c r="N111">
        <f ca="1">IF(Table3[[#This Row],[6M Stat]]="Claimable",1,0)</f>
        <v>1</v>
      </c>
      <c r="O111" s="4">
        <f>Table3[[#This Row],[Joining Date]]+365</f>
        <v>46084</v>
      </c>
      <c r="Q111" t="str">
        <f t="shared" ca="1" si="5"/>
        <v>Claimable</v>
      </c>
      <c r="R111">
        <f ca="1">IF(Table3[[#This Row],[12 M Stat]]="Claimable",1,0)</f>
        <v>1</v>
      </c>
      <c r="S111">
        <f ca="1">Table3[[#This Row],[Placement claim Highlight]]+Table3[[#This Row],[Highlight rule 6M]]+Table3[[#This Row],[Highlight rule 12 M]]</f>
        <v>3</v>
      </c>
      <c r="T111" s="6">
        <f>SUM(Table3[[#This Row],[Placement Fee]:[Salary]])</f>
        <v>0</v>
      </c>
      <c r="U111" s="6"/>
      <c r="V111" s="6">
        <f>IF(Table1[[#This Row],[MoL]]="Yes",55,0)</f>
        <v>0</v>
      </c>
      <c r="W111" s="6">
        <f>IF(Table1[[#This Row],[Long MoL +3 Years]]="Yes",137.5,0)</f>
        <v>0</v>
      </c>
      <c r="X111" s="6">
        <f>IF(Table1[[#This Row],[Gender]]="Female",137.5,0)</f>
        <v>0</v>
      </c>
      <c r="Y111" s="6">
        <f>IF(Table1[[#This Row],[Education]]="Bachelors +",55,0)</f>
        <v>0</v>
      </c>
      <c r="Z111" s="6">
        <f>IF(Table1[[#This Row],[Salary]]&gt;=600,82.5,0)</f>
        <v>0</v>
      </c>
    </row>
    <row r="112" spans="1:26">
      <c r="A112" s="3">
        <f>Table1[[#This Row],[SL No.]]</f>
        <v>111</v>
      </c>
      <c r="B112" t="str">
        <f>Table1[[#This Row],[Case manager]]</f>
        <v>Zainab Mattar</v>
      </c>
      <c r="C112" t="str">
        <f>Table1[[#This Row],[Ref No]]</f>
        <v>JCP/25/154261</v>
      </c>
      <c r="D112" t="str">
        <f>Table1[[#This Row],[Name]]</f>
        <v>No Placement Recorded</v>
      </c>
      <c r="E112" s="4">
        <f>'Placements 26'!F112</f>
        <v>45735</v>
      </c>
      <c r="F112" s="4" t="str">
        <f t="shared" ca="1" si="6"/>
        <v>Claimable</v>
      </c>
      <c r="G112" s="4"/>
      <c r="H112" s="4"/>
      <c r="J112">
        <f>IF(Table3[[#This Row],[Placement Fee &amp; Variables]]&gt;0,0,1)</f>
        <v>1</v>
      </c>
      <c r="K112" s="4">
        <f>Table3[[#This Row],[Joining Date]]+180</f>
        <v>45915</v>
      </c>
      <c r="L112" t="str">
        <f t="shared" ca="1" si="7"/>
        <v>Claimable</v>
      </c>
      <c r="N112">
        <f ca="1">IF(Table3[[#This Row],[6M Stat]]="Claimable",1,0)</f>
        <v>1</v>
      </c>
      <c r="O112" s="4">
        <f>Table3[[#This Row],[Joining Date]]+365</f>
        <v>46100</v>
      </c>
      <c r="Q112" t="str">
        <f t="shared" ca="1" si="5"/>
        <v>Claimable</v>
      </c>
      <c r="R112">
        <f ca="1">IF(Table3[[#This Row],[12 M Stat]]="Claimable",1,0)</f>
        <v>1</v>
      </c>
      <c r="S112">
        <f ca="1">Table3[[#This Row],[Placement claim Highlight]]+Table3[[#This Row],[Highlight rule 6M]]+Table3[[#This Row],[Highlight rule 12 M]]</f>
        <v>3</v>
      </c>
      <c r="T112" s="6">
        <f>SUM(Table3[[#This Row],[Placement Fee]:[Salary]])</f>
        <v>0</v>
      </c>
      <c r="U112" s="6"/>
      <c r="V112" s="6">
        <f>IF(Table1[[#This Row],[MoL]]="Yes",55,0)</f>
        <v>0</v>
      </c>
      <c r="W112" s="6">
        <f>IF(Table1[[#This Row],[Long MoL +3 Years]]="Yes",137.5,0)</f>
        <v>0</v>
      </c>
      <c r="X112" s="6">
        <f>IF(Table1[[#This Row],[Gender]]="Female",137.5,0)</f>
        <v>0</v>
      </c>
      <c r="Y112" s="6">
        <f>IF(Table1[[#This Row],[Education]]="Bachelors +",55,0)</f>
        <v>0</v>
      </c>
      <c r="Z112" s="6">
        <f>IF(Table1[[#This Row],[Salary]]&gt;=600,82.5,0)</f>
        <v>0</v>
      </c>
    </row>
    <row r="113" spans="1:28">
      <c r="A113" s="3">
        <f>Table1[[#This Row],[SL No.]]</f>
        <v>112</v>
      </c>
      <c r="B113" t="str">
        <f>Table1[[#This Row],[Case manager]]</f>
        <v>Zainab Mattar</v>
      </c>
      <c r="C113" t="str">
        <f>Table1[[#This Row],[Ref No]]</f>
        <v>JCP/25/177104</v>
      </c>
      <c r="D113" t="str">
        <f>Table1[[#This Row],[Name]]</f>
        <v>No Placement Recorded</v>
      </c>
      <c r="E113" s="4">
        <f>'Placements 26'!F113</f>
        <v>45741</v>
      </c>
      <c r="F113" s="4" t="str">
        <f t="shared" ca="1" si="6"/>
        <v>Claimable</v>
      </c>
      <c r="G113" s="4"/>
      <c r="H113" s="4"/>
      <c r="J113">
        <f>IF(Table3[[#This Row],[Placement Fee &amp; Variables]]&gt;0,0,1)</f>
        <v>1</v>
      </c>
      <c r="K113" s="4">
        <f>Table3[[#This Row],[Joining Date]]+180</f>
        <v>45921</v>
      </c>
      <c r="L113" t="str">
        <f t="shared" ca="1" si="7"/>
        <v>Claimable</v>
      </c>
      <c r="N113">
        <f ca="1">IF(Table3[[#This Row],[6M Stat]]="Claimable",1,0)</f>
        <v>1</v>
      </c>
      <c r="O113" s="4">
        <f>Table3[[#This Row],[Joining Date]]+365</f>
        <v>46106</v>
      </c>
      <c r="Q113" t="str">
        <f t="shared" ca="1" si="5"/>
        <v>Claimable</v>
      </c>
      <c r="R113">
        <f ca="1">IF(Table3[[#This Row],[12 M Stat]]="Claimable",1,0)</f>
        <v>1</v>
      </c>
      <c r="S113">
        <f ca="1">Table3[[#This Row],[Placement claim Highlight]]+Table3[[#This Row],[Highlight rule 6M]]+Table3[[#This Row],[Highlight rule 12 M]]</f>
        <v>3</v>
      </c>
      <c r="T113" s="6">
        <f>SUM(Table3[[#This Row],[Placement Fee]:[Salary]])</f>
        <v>0</v>
      </c>
      <c r="U113" s="6"/>
      <c r="V113" s="6">
        <f>IF(Table1[[#This Row],[MoL]]="Yes",55,0)</f>
        <v>0</v>
      </c>
      <c r="W113" s="6">
        <f>IF(Table1[[#This Row],[Long MoL +3 Years]]="Yes",137.5,0)</f>
        <v>0</v>
      </c>
      <c r="X113" s="6">
        <f>IF(Table1[[#This Row],[Gender]]="Female",137.5,0)</f>
        <v>0</v>
      </c>
      <c r="Y113" s="6">
        <f>IF(Table1[[#This Row],[Education]]="Bachelors +",55,0)</f>
        <v>0</v>
      </c>
      <c r="Z113" s="6">
        <f>IF(Table1[[#This Row],[Salary]]&gt;=600,82.5,0)</f>
        <v>0</v>
      </c>
    </row>
    <row r="114" spans="1:28">
      <c r="A114" s="3">
        <f>Table1[[#This Row],[SL No.]]</f>
        <v>113</v>
      </c>
      <c r="B114" t="str">
        <f>Table1[[#This Row],[Case manager]]</f>
        <v>Zainab Mattar</v>
      </c>
      <c r="C114" t="str">
        <f>Table1[[#This Row],[Ref No]]</f>
        <v>JCP/25/205639</v>
      </c>
      <c r="D114" t="str">
        <f>Table1[[#This Row],[Name]]</f>
        <v>No Placement Recorded</v>
      </c>
      <c r="E114" s="4">
        <f>'Placements 26'!F114</f>
        <v>45863</v>
      </c>
      <c r="F114" s="4" t="str">
        <f t="shared" ca="1" si="6"/>
        <v>Claimable</v>
      </c>
      <c r="G114" s="4"/>
      <c r="H114" s="4"/>
      <c r="J114">
        <f>IF(Table3[[#This Row],[Placement Fee &amp; Variables]]&gt;0,0,1)</f>
        <v>1</v>
      </c>
      <c r="K114" s="4">
        <f>Table3[[#This Row],[Joining Date]]+180</f>
        <v>46043</v>
      </c>
      <c r="L114" t="str">
        <f t="shared" ca="1" si="7"/>
        <v>Claimable</v>
      </c>
      <c r="N114">
        <f ca="1">IF(Table3[[#This Row],[6M Stat]]="Claimable",1,0)</f>
        <v>1</v>
      </c>
      <c r="O114" s="4">
        <f>Table3[[#This Row],[Joining Date]]+365</f>
        <v>46228</v>
      </c>
      <c r="Q114" t="str">
        <f t="shared" ca="1" si="5"/>
        <v>Claimable</v>
      </c>
      <c r="R114">
        <f ca="1">IF(Table3[[#This Row],[12 M Stat]]="Claimable",1,0)</f>
        <v>1</v>
      </c>
      <c r="S114">
        <f ca="1">Table3[[#This Row],[Placement claim Highlight]]+Table3[[#This Row],[Highlight rule 6M]]+Table3[[#This Row],[Highlight rule 12 M]]</f>
        <v>3</v>
      </c>
      <c r="T114" s="6">
        <f>SUM(Table3[[#This Row],[Placement Fee]:[Salary]])</f>
        <v>0</v>
      </c>
      <c r="U114" s="6"/>
      <c r="V114" s="6">
        <f>IF(Table1[[#This Row],[MoL]]="Yes",55,0)</f>
        <v>0</v>
      </c>
      <c r="W114" s="6">
        <f>IF(Table1[[#This Row],[Long MoL +3 Years]]="Yes",137.5,0)</f>
        <v>0</v>
      </c>
      <c r="X114" s="6">
        <f>IF(Table1[[#This Row],[Gender]]="Female",137.5,0)</f>
        <v>0</v>
      </c>
      <c r="Y114" s="6">
        <f>IF(Table1[[#This Row],[Education]]="Bachelors +",55,0)</f>
        <v>0</v>
      </c>
      <c r="Z114" s="6">
        <f>IF(Table1[[#This Row],[Salary]]&gt;=600,82.5,0)</f>
        <v>0</v>
      </c>
    </row>
    <row r="115" spans="1:28">
      <c r="A115" s="3">
        <f>Table1[[#This Row],[SL No.]]</f>
        <v>114</v>
      </c>
      <c r="B115" t="str">
        <f>Table1[[#This Row],[Case manager]]</f>
        <v>Malak</v>
      </c>
      <c r="C115" t="str">
        <f>Table1[[#This Row],[Ref No]]</f>
        <v>JCP/24/095374</v>
      </c>
      <c r="D115" t="str">
        <f>Table1[[#This Row],[Name]]</f>
        <v>No Placement Recorded</v>
      </c>
      <c r="E115" s="4">
        <f>'Placements 26'!F115</f>
        <v>45710</v>
      </c>
      <c r="F115" s="4" t="str">
        <f t="shared" ca="1" si="6"/>
        <v>Claimable</v>
      </c>
      <c r="G115" s="4"/>
      <c r="H115" s="4"/>
      <c r="J115">
        <f>IF(Table3[[#This Row],[Placement Fee &amp; Variables]]&gt;0,0,1)</f>
        <v>1</v>
      </c>
      <c r="K115" s="4">
        <f>Table3[[#This Row],[Joining Date]]+180</f>
        <v>45890</v>
      </c>
      <c r="L115" t="str">
        <f t="shared" ca="1" si="7"/>
        <v>Claimable</v>
      </c>
      <c r="N115">
        <f ca="1">IF(Table3[[#This Row],[6M Stat]]="Claimable",1,0)</f>
        <v>1</v>
      </c>
      <c r="O115" s="4">
        <f>Table3[[#This Row],[Joining Date]]+365</f>
        <v>46075</v>
      </c>
      <c r="Q115" t="str">
        <f t="shared" ca="1" si="5"/>
        <v>Claimable</v>
      </c>
      <c r="R115">
        <f ca="1">IF(Table3[[#This Row],[12 M Stat]]="Claimable",1,0)</f>
        <v>1</v>
      </c>
      <c r="S115">
        <f ca="1">Table3[[#This Row],[Placement claim Highlight]]+Table3[[#This Row],[Highlight rule 6M]]+Table3[[#This Row],[Highlight rule 12 M]]</f>
        <v>3</v>
      </c>
      <c r="T115" s="6">
        <f>SUM(Table3[[#This Row],[Placement Fee]:[Salary]])</f>
        <v>0</v>
      </c>
      <c r="U115" s="6"/>
      <c r="V115" s="6">
        <f>IF(Table1[[#This Row],[MoL]]="Yes",55,0)</f>
        <v>0</v>
      </c>
      <c r="W115" s="6">
        <f>IF(Table1[[#This Row],[Long MoL +3 Years]]="Yes",137.5,0)</f>
        <v>0</v>
      </c>
      <c r="X115" s="6">
        <f>IF(Table1[[#This Row],[Gender]]="Female",137.5,0)</f>
        <v>0</v>
      </c>
      <c r="Y115" s="6">
        <f>IF(Table1[[#This Row],[Education]]="Bachelors +",55,0)</f>
        <v>0</v>
      </c>
      <c r="Z115" s="6">
        <f>IF(Table1[[#This Row],[Salary]]&gt;=600,82.5,0)</f>
        <v>0</v>
      </c>
    </row>
    <row r="116" spans="1:28">
      <c r="A116" s="3">
        <f>Table1[[#This Row],[SL No.]]</f>
        <v>115</v>
      </c>
      <c r="B116" t="str">
        <f>Table1[[#This Row],[Case manager]]</f>
        <v>Malak</v>
      </c>
      <c r="C116" t="str">
        <f>Table1[[#This Row],[Ref No]]</f>
        <v>JCP/25/183265</v>
      </c>
      <c r="D116" t="str">
        <f>Table1[[#This Row],[Name]]</f>
        <v>No Placement Recorded</v>
      </c>
      <c r="E116" s="4">
        <f>'Placements 26'!F116</f>
        <v>45760</v>
      </c>
      <c r="F116" s="4" t="str">
        <f t="shared" ca="1" si="6"/>
        <v>Claimable</v>
      </c>
      <c r="G116" s="4"/>
      <c r="H116" s="4"/>
      <c r="J116">
        <f>IF(Table3[[#This Row],[Placement Fee &amp; Variables]]&gt;0,0,1)</f>
        <v>1</v>
      </c>
      <c r="K116" s="4">
        <f>Table3[[#This Row],[Joining Date]]+180</f>
        <v>45940</v>
      </c>
      <c r="L116" t="str">
        <f t="shared" ca="1" si="7"/>
        <v>Claimable</v>
      </c>
      <c r="N116">
        <f ca="1">IF(Table3[[#This Row],[6M Stat]]="Claimable",1,0)</f>
        <v>1</v>
      </c>
      <c r="O116" s="4">
        <f>Table3[[#This Row],[Joining Date]]+365</f>
        <v>46125</v>
      </c>
      <c r="Q116" t="str">
        <f t="shared" ca="1" si="5"/>
        <v>Claimable</v>
      </c>
      <c r="R116">
        <f ca="1">IF(Table3[[#This Row],[12 M Stat]]="Claimable",1,0)</f>
        <v>1</v>
      </c>
      <c r="S116">
        <f ca="1">Table3[[#This Row],[Placement claim Highlight]]+Table3[[#This Row],[Highlight rule 6M]]+Table3[[#This Row],[Highlight rule 12 M]]</f>
        <v>3</v>
      </c>
      <c r="T116" s="6">
        <f>SUM(Table3[[#This Row],[Placement Fee]:[Salary]])</f>
        <v>0</v>
      </c>
      <c r="U116" s="6"/>
      <c r="V116" s="6">
        <f>IF(Table1[[#This Row],[MoL]]="Yes",55,0)</f>
        <v>0</v>
      </c>
      <c r="W116" s="6">
        <f>IF(Table1[[#This Row],[Long MoL +3 Years]]="Yes",137.5,0)</f>
        <v>0</v>
      </c>
      <c r="X116" s="6">
        <f>IF(Table1[[#This Row],[Gender]]="Female",137.5,0)</f>
        <v>0</v>
      </c>
      <c r="Y116" s="6">
        <f>IF(Table1[[#This Row],[Education]]="Bachelors +",55,0)</f>
        <v>0</v>
      </c>
      <c r="Z116" s="6">
        <f>IF(Table1[[#This Row],[Salary]]&gt;=600,82.5,0)</f>
        <v>0</v>
      </c>
    </row>
    <row r="117" spans="1:28">
      <c r="A117" s="3">
        <f>Table1[[#This Row],[SL No.]]</f>
        <v>116</v>
      </c>
      <c r="B117" t="str">
        <f>Table1[[#This Row],[Case manager]]</f>
        <v>Zainab Mattar</v>
      </c>
      <c r="C117" t="str">
        <f>Table1[[#This Row],[Ref No]]</f>
        <v>JCP/25/217023</v>
      </c>
      <c r="D117" t="str">
        <f>Table1[[#This Row],[Name]]</f>
        <v>No Placement Recorded</v>
      </c>
      <c r="E117" s="4">
        <f>'Placements 26'!F117</f>
        <v>45886</v>
      </c>
      <c r="F117" s="4" t="str">
        <f t="shared" ca="1" si="6"/>
        <v>Claimable</v>
      </c>
      <c r="G117" s="4"/>
      <c r="H117" s="4"/>
      <c r="J117">
        <f>IF(Table3[[#This Row],[Placement Fee &amp; Variables]]&gt;0,0,1)</f>
        <v>1</v>
      </c>
      <c r="K117" s="4">
        <f>Table3[[#This Row],[Joining Date]]+180</f>
        <v>46066</v>
      </c>
      <c r="L117" t="str">
        <f t="shared" ca="1" si="7"/>
        <v>Claimable</v>
      </c>
      <c r="N117">
        <f ca="1">IF(Table3[[#This Row],[6M Stat]]="Claimable",1,0)</f>
        <v>1</v>
      </c>
      <c r="O117" s="4">
        <f>Table3[[#This Row],[Joining Date]]+365</f>
        <v>46251</v>
      </c>
      <c r="Q117" t="str">
        <f t="shared" ca="1" si="5"/>
        <v>Claimable</v>
      </c>
      <c r="R117">
        <f ca="1">IF(Table3[[#This Row],[12 M Stat]]="Claimable",1,0)</f>
        <v>1</v>
      </c>
      <c r="S117">
        <f ca="1">Table3[[#This Row],[Placement claim Highlight]]+Table3[[#This Row],[Highlight rule 6M]]+Table3[[#This Row],[Highlight rule 12 M]]</f>
        <v>3</v>
      </c>
      <c r="T117" s="6">
        <f>SUM(Table3[[#This Row],[Placement Fee]:[Salary]])</f>
        <v>0</v>
      </c>
      <c r="U117" s="6"/>
      <c r="V117" s="6">
        <f>IF(Table1[[#This Row],[MoL]]="Yes",55,0)</f>
        <v>0</v>
      </c>
      <c r="W117" s="6">
        <f>IF(Table1[[#This Row],[Long MoL +3 Years]]="Yes",137.5,0)</f>
        <v>0</v>
      </c>
      <c r="X117" s="6">
        <f>IF(Table1[[#This Row],[Gender]]="Female",137.5,0)</f>
        <v>0</v>
      </c>
      <c r="Y117" s="6">
        <f>IF(Table1[[#This Row],[Education]]="Bachelors +",55,0)</f>
        <v>0</v>
      </c>
      <c r="Z117" s="6">
        <f>IF(Table1[[#This Row],[Salary]]&gt;=600,82.5,0)</f>
        <v>0</v>
      </c>
    </row>
    <row r="118" spans="1:28">
      <c r="A118" s="3">
        <f>Table1[[#This Row],[SL No.]]</f>
        <v>117</v>
      </c>
      <c r="B118" t="str">
        <f>Table1[[#This Row],[Case manager]]</f>
        <v>Zainab Mattar</v>
      </c>
      <c r="C118" t="str">
        <f>Table1[[#This Row],[Ref No]]</f>
        <v>JCP/25/167640</v>
      </c>
      <c r="D118" t="str">
        <f>Table1[[#This Row],[Name]]</f>
        <v>No Placement Recorded</v>
      </c>
      <c r="E118" s="4">
        <f>'Placements 26'!F118</f>
        <v>45881</v>
      </c>
      <c r="F118" s="4" t="str">
        <f t="shared" ca="1" si="6"/>
        <v>Claimable</v>
      </c>
      <c r="G118" s="4"/>
      <c r="H118" s="4"/>
      <c r="J118">
        <f>IF(Table3[[#This Row],[Placement Fee &amp; Variables]]&gt;0,0,1)</f>
        <v>1</v>
      </c>
      <c r="K118" s="4">
        <f>Table3[[#This Row],[Joining Date]]+180</f>
        <v>46061</v>
      </c>
      <c r="L118" t="str">
        <f t="shared" ca="1" si="7"/>
        <v>Claimable</v>
      </c>
      <c r="N118">
        <f ca="1">IF(Table3[[#This Row],[6M Stat]]="Claimable",1,0)</f>
        <v>1</v>
      </c>
      <c r="O118" s="4">
        <f>Table3[[#This Row],[Joining Date]]+365</f>
        <v>46246</v>
      </c>
      <c r="Q118" t="str">
        <f t="shared" ca="1" si="5"/>
        <v>Claimable</v>
      </c>
      <c r="R118">
        <f ca="1">IF(Table3[[#This Row],[12 M Stat]]="Claimable",1,0)</f>
        <v>1</v>
      </c>
      <c r="S118">
        <f ca="1">Table3[[#This Row],[Placement claim Highlight]]+Table3[[#This Row],[Highlight rule 6M]]+Table3[[#This Row],[Highlight rule 12 M]]</f>
        <v>3</v>
      </c>
      <c r="T118" s="6">
        <f>SUM(Table3[[#This Row],[Placement Fee]:[Salary]])</f>
        <v>0</v>
      </c>
      <c r="U118" s="6"/>
      <c r="V118" s="6">
        <f>IF(Table1[[#This Row],[MoL]]="Yes",55,0)</f>
        <v>0</v>
      </c>
      <c r="W118" s="6">
        <f>IF(Table1[[#This Row],[Long MoL +3 Years]]="Yes",137.5,0)</f>
        <v>0</v>
      </c>
      <c r="X118" s="6">
        <f>IF(Table1[[#This Row],[Gender]]="Female",137.5,0)</f>
        <v>0</v>
      </c>
      <c r="Y118" s="6">
        <f>IF(Table1[[#This Row],[Education]]="Bachelors +",55,0)</f>
        <v>0</v>
      </c>
      <c r="Z118" s="6">
        <f>IF(Table1[[#This Row],[Salary]]&gt;=600,82.5,0)</f>
        <v>0</v>
      </c>
    </row>
    <row r="119" spans="1:28">
      <c r="A119" s="3">
        <f>Table1[[#This Row],[SL No.]]</f>
        <v>118</v>
      </c>
      <c r="B119" t="str">
        <f>Table1[[#This Row],[Case manager]]</f>
        <v>Zainab Mattar</v>
      </c>
      <c r="C119" t="str">
        <f>Table1[[#This Row],[Ref No]]</f>
        <v>JCP/25/221888</v>
      </c>
      <c r="D119" t="str">
        <f>Table1[[#This Row],[Name]]</f>
        <v>No Placement Recorded</v>
      </c>
      <c r="E119" s="4">
        <f>'Placements 26'!F119</f>
        <v>45902</v>
      </c>
      <c r="F119" s="4" t="str">
        <f t="shared" ca="1" si="6"/>
        <v>Claimable</v>
      </c>
      <c r="G119" s="4"/>
      <c r="H119" s="4"/>
      <c r="J119">
        <f>IF(Table3[[#This Row],[Placement Fee &amp; Variables]]&gt;0,0,1)</f>
        <v>1</v>
      </c>
      <c r="K119" s="4">
        <f>Table3[[#This Row],[Joining Date]]+180</f>
        <v>46082</v>
      </c>
      <c r="L119" t="str">
        <f t="shared" ca="1" si="7"/>
        <v>Claimable</v>
      </c>
      <c r="N119">
        <f ca="1">IF(Table3[[#This Row],[6M Stat]]="Claimable",1,0)</f>
        <v>1</v>
      </c>
      <c r="O119" s="4">
        <f>Table3[[#This Row],[Joining Date]]+365</f>
        <v>46267</v>
      </c>
      <c r="Q119" t="str">
        <f t="shared" ca="1" si="5"/>
        <v>Claimable</v>
      </c>
      <c r="R119">
        <f ca="1">IF(Table3[[#This Row],[12 M Stat]]="Claimable",1,0)</f>
        <v>1</v>
      </c>
      <c r="S119">
        <f ca="1">Table3[[#This Row],[Placement claim Highlight]]+Table3[[#This Row],[Highlight rule 6M]]+Table3[[#This Row],[Highlight rule 12 M]]</f>
        <v>3</v>
      </c>
      <c r="T119" s="6">
        <f>SUM(Table3[[#This Row],[Placement Fee]:[Salary]])</f>
        <v>0</v>
      </c>
      <c r="U119" s="6"/>
      <c r="V119" s="6">
        <f>IF(Table1[[#This Row],[MoL]]="Yes",55,0)</f>
        <v>0</v>
      </c>
      <c r="W119" s="6">
        <f>IF(Table1[[#This Row],[Long MoL +3 Years]]="Yes",137.5,0)</f>
        <v>0</v>
      </c>
      <c r="X119" s="6">
        <f>IF(Table1[[#This Row],[Gender]]="Female",137.5,0)</f>
        <v>0</v>
      </c>
      <c r="Y119" s="6">
        <f>IF(Table1[[#This Row],[Education]]="Bachelors +",55,0)</f>
        <v>0</v>
      </c>
      <c r="Z119" s="6">
        <f>IF(Table1[[#This Row],[Salary]]&gt;=600,82.5,0)</f>
        <v>0</v>
      </c>
    </row>
    <row r="120" spans="1:28">
      <c r="A120" s="3">
        <f>Table1[[#This Row],[SL No.]]</f>
        <v>119</v>
      </c>
      <c r="B120" t="str">
        <f>Table1[[#This Row],[Case manager]]</f>
        <v>Malak</v>
      </c>
      <c r="C120" t="str">
        <f>Table1[[#This Row],[Ref No]]</f>
        <v>JCP/24/146053</v>
      </c>
      <c r="D120" t="str">
        <f>Table1[[#This Row],[Name]]</f>
        <v>No Placement Recorded</v>
      </c>
      <c r="E120" s="4">
        <f>'Placements 26'!F120</f>
        <v>45761</v>
      </c>
      <c r="F120" s="4" t="str">
        <f t="shared" ca="1" si="6"/>
        <v>Claimable</v>
      </c>
      <c r="G120" s="4"/>
      <c r="H120" s="4"/>
      <c r="J120">
        <f>IF(Table3[[#This Row],[Placement Fee &amp; Variables]]&gt;0,0,1)</f>
        <v>1</v>
      </c>
      <c r="K120" s="4">
        <f>Table3[[#This Row],[Joining Date]]+180</f>
        <v>45941</v>
      </c>
      <c r="L120" t="str">
        <f t="shared" ca="1" si="7"/>
        <v>Claimable</v>
      </c>
      <c r="N120">
        <f ca="1">IF(Table3[[#This Row],[6M Stat]]="Claimable",1,0)</f>
        <v>1</v>
      </c>
      <c r="O120" s="4">
        <f>Table3[[#This Row],[Joining Date]]+365</f>
        <v>46126</v>
      </c>
      <c r="Q120" t="str">
        <f t="shared" ca="1" si="5"/>
        <v>Claimable</v>
      </c>
      <c r="R120">
        <f ca="1">IF(Table3[[#This Row],[12 M Stat]]="Claimable",1,0)</f>
        <v>1</v>
      </c>
      <c r="S120">
        <f ca="1">Table3[[#This Row],[Placement claim Highlight]]+Table3[[#This Row],[Highlight rule 6M]]+Table3[[#This Row],[Highlight rule 12 M]]</f>
        <v>3</v>
      </c>
      <c r="T120" s="6">
        <f>SUM(Table3[[#This Row],[Placement Fee]:[Salary]])</f>
        <v>0</v>
      </c>
      <c r="U120" s="6"/>
      <c r="V120" s="6">
        <f>IF(Table1[[#This Row],[MoL]]="Yes",55,0)</f>
        <v>0</v>
      </c>
      <c r="W120" s="6">
        <f>IF(Table1[[#This Row],[Long MoL +3 Years]]="Yes",137.5,0)</f>
        <v>0</v>
      </c>
      <c r="X120" s="6">
        <f>IF(Table1[[#This Row],[Gender]]="Female",137.5,0)</f>
        <v>0</v>
      </c>
      <c r="Y120" s="6">
        <f>IF(Table1[[#This Row],[Education]]="Bachelors +",55,0)</f>
        <v>0</v>
      </c>
      <c r="Z120" s="6">
        <f>IF(Table1[[#This Row],[Salary]]&gt;=600,82.5,0)</f>
        <v>0</v>
      </c>
    </row>
    <row r="121" spans="1:28">
      <c r="A121" s="3">
        <f>Table1[[#This Row],[SL No.]]</f>
        <v>120</v>
      </c>
      <c r="B121" t="str">
        <f>Table1[[#This Row],[Case manager]]</f>
        <v>Malak</v>
      </c>
      <c r="C121" t="str">
        <f>Table1[[#This Row],[Ref No]]</f>
        <v>JCP/24/098208</v>
      </c>
      <c r="D121" t="str">
        <f>Table1[[#This Row],[Name]]</f>
        <v>No Placement Recorded</v>
      </c>
      <c r="E121" s="4">
        <f>'Placements 26'!F121</f>
        <v>45634</v>
      </c>
      <c r="F121" s="4" t="str">
        <f t="shared" ca="1" si="6"/>
        <v>Claimable</v>
      </c>
      <c r="G121" s="4"/>
      <c r="H121" s="4"/>
      <c r="J121">
        <f>IF(Table3[[#This Row],[Placement Fee &amp; Variables]]&gt;0,0,1)</f>
        <v>1</v>
      </c>
      <c r="K121" s="4">
        <f>Table3[[#This Row],[Joining Date]]+180</f>
        <v>45814</v>
      </c>
      <c r="L121" t="str">
        <f t="shared" ca="1" si="7"/>
        <v>Claimable</v>
      </c>
      <c r="N121">
        <f ca="1">IF(Table3[[#This Row],[6M Stat]]="Claimable",1,0)</f>
        <v>1</v>
      </c>
      <c r="O121" s="4">
        <f>Table3[[#This Row],[Joining Date]]+365</f>
        <v>45999</v>
      </c>
      <c r="Q121" t="str">
        <f t="shared" ca="1" si="5"/>
        <v>Claimable</v>
      </c>
      <c r="R121">
        <f ca="1">IF(Table3[[#This Row],[12 M Stat]]="Claimable",1,0)</f>
        <v>1</v>
      </c>
      <c r="S121">
        <f ca="1">Table3[[#This Row],[Placement claim Highlight]]+Table3[[#This Row],[Highlight rule 6M]]+Table3[[#This Row],[Highlight rule 12 M]]</f>
        <v>3</v>
      </c>
      <c r="T121" s="6">
        <f>SUM(Table3[[#This Row],[Placement Fee]:[Salary]])</f>
        <v>0</v>
      </c>
      <c r="U121" s="6"/>
      <c r="V121" s="6">
        <f>IF(Table1[[#This Row],[MoL]]="Yes",55,0)</f>
        <v>0</v>
      </c>
      <c r="W121" s="6">
        <f>IF(Table1[[#This Row],[Long MoL +3 Years]]="Yes",137.5,0)</f>
        <v>0</v>
      </c>
      <c r="X121" s="6">
        <f>IF(Table1[[#This Row],[Gender]]="Female",137.5,0)</f>
        <v>0</v>
      </c>
      <c r="Y121" s="6">
        <f>IF(Table1[[#This Row],[Education]]="Bachelors +",55,0)</f>
        <v>0</v>
      </c>
      <c r="Z121" s="6">
        <f>IF(Table1[[#This Row],[Salary]]&gt;=600,82.5,0)</f>
        <v>0</v>
      </c>
    </row>
    <row r="122" spans="1:28">
      <c r="A122" s="3">
        <f>Table1[[#This Row],[SL No.]]</f>
        <v>121</v>
      </c>
      <c r="B122" t="str">
        <f>Table1[[#This Row],[Case manager]]</f>
        <v>Zainab Mattar</v>
      </c>
      <c r="C122" t="str">
        <f>Table1[[#This Row],[Ref No]]</f>
        <v>JCP/25/218077</v>
      </c>
      <c r="D122" t="str">
        <f>Table1[[#This Row],[Name]]</f>
        <v>No Placement Recorded</v>
      </c>
      <c r="E122" s="4">
        <f>'Placements 26'!F122</f>
        <v>45921</v>
      </c>
      <c r="F122" s="4" t="str">
        <f t="shared" ca="1" si="6"/>
        <v>Claimable</v>
      </c>
      <c r="G122" s="4"/>
      <c r="H122" s="4"/>
      <c r="J122">
        <f>IF(Table3[[#This Row],[Placement Fee &amp; Variables]]&gt;0,0,1)</f>
        <v>1</v>
      </c>
      <c r="K122" s="4">
        <f>Table3[[#This Row],[Joining Date]]+180</f>
        <v>46101</v>
      </c>
      <c r="L122" t="str">
        <f t="shared" ca="1" si="7"/>
        <v>Claimable</v>
      </c>
      <c r="N122">
        <f ca="1">IF(Table3[[#This Row],[6M Stat]]="Claimable",1,0)</f>
        <v>1</v>
      </c>
      <c r="O122" s="4">
        <f>Table3[[#This Row],[Joining Date]]+365</f>
        <v>46286</v>
      </c>
      <c r="Q122" t="str">
        <f t="shared" ca="1" si="5"/>
        <v>Claimable</v>
      </c>
      <c r="R122">
        <f ca="1">IF(Table3[[#This Row],[12 M Stat]]="Claimable",1,0)</f>
        <v>1</v>
      </c>
      <c r="S122">
        <f ca="1">Table3[[#This Row],[Placement claim Highlight]]+Table3[[#This Row],[Highlight rule 6M]]+Table3[[#This Row],[Highlight rule 12 M]]</f>
        <v>3</v>
      </c>
      <c r="T122" s="6">
        <f>SUM(Table3[[#This Row],[Placement Fee]:[Salary]])</f>
        <v>0</v>
      </c>
      <c r="U122" s="6"/>
      <c r="V122" s="6">
        <f>IF(Table1[[#This Row],[MoL]]="Yes",55,0)</f>
        <v>0</v>
      </c>
      <c r="W122" s="6">
        <f>IF(Table1[[#This Row],[Long MoL +3 Years]]="Yes",137.5,0)</f>
        <v>0</v>
      </c>
      <c r="X122" s="6">
        <f>IF(Table1[[#This Row],[Gender]]="Female",137.5,0)</f>
        <v>0</v>
      </c>
      <c r="Y122" s="6">
        <f>IF(Table1[[#This Row],[Education]]="Bachelors +",55,0)</f>
        <v>0</v>
      </c>
      <c r="Z122" s="6">
        <f>IF(Table1[[#This Row],[Salary]]&gt;=600,82.5,0)</f>
        <v>0</v>
      </c>
    </row>
    <row r="123" spans="1:28">
      <c r="A123" s="3">
        <f>Table1[[#This Row],[SL No.]]</f>
        <v>122</v>
      </c>
      <c r="B123" t="str">
        <f>Table1[[#This Row],[Case manager]]</f>
        <v>Meaad</v>
      </c>
      <c r="C123" t="str">
        <f>Table1[[#This Row],[Ref No]]</f>
        <v>JCP/25/195286/PMT/001</v>
      </c>
      <c r="D123" t="str">
        <f>Table1[[#This Row],[Name]]</f>
        <v>Hasan Aqeel Aljeshi</v>
      </c>
      <c r="E123" s="4">
        <f>'Placements 26'!F123</f>
        <v>45819</v>
      </c>
      <c r="F123" s="4" t="str">
        <f t="shared" ca="1" si="6"/>
        <v>Claimed</v>
      </c>
      <c r="G123" s="4"/>
      <c r="H123" s="4"/>
      <c r="I123" s="4">
        <v>45819</v>
      </c>
      <c r="J123">
        <f>IF(Table3[[#This Row],[Placement Fee &amp; Variables]]&gt;0,0,1)</f>
        <v>0</v>
      </c>
      <c r="K123" s="4">
        <f>Table3[[#This Row],[Joining Date]]+180</f>
        <v>45999</v>
      </c>
      <c r="L123" t="str">
        <f t="shared" ca="1" si="7"/>
        <v/>
      </c>
      <c r="M123" s="4">
        <v>45998</v>
      </c>
      <c r="N123">
        <f ca="1">IF(Table3[[#This Row],[6M Stat]]="Claimable",1,0)</f>
        <v>0</v>
      </c>
      <c r="O123" s="4">
        <f>Table3[[#This Row],[Joining Date]]+365</f>
        <v>46184</v>
      </c>
      <c r="P123" s="116">
        <v>46245</v>
      </c>
      <c r="Q123" t="str">
        <f t="shared" ca="1" si="5"/>
        <v/>
      </c>
      <c r="R123">
        <f ca="1">IF(Table3[[#This Row],[12 M Stat]]="Claimable",1,0)</f>
        <v>0</v>
      </c>
      <c r="S123">
        <f ca="1">Table3[[#This Row],[Placement claim Highlight]]+Table3[[#This Row],[Highlight rule 6M]]+Table3[[#This Row],[Highlight rule 12 M]]</f>
        <v>0</v>
      </c>
      <c r="T123" s="6">
        <f>SUM(Table3[[#This Row],[Placement Fee]:[Salary]])</f>
        <v>192.5</v>
      </c>
      <c r="U123" s="6"/>
      <c r="V123" s="6">
        <f>IF(Table1[[#This Row],[MoL]]="Yes",55,0)</f>
        <v>55</v>
      </c>
      <c r="W123" s="6">
        <f>IF(Table1[[#This Row],[Long MoL +3 Years]]="Yes",137.5,0)</f>
        <v>137.5</v>
      </c>
      <c r="X123" s="6">
        <f>IF(Table1[[#This Row],[Gender]]="Female",137.5,0)</f>
        <v>0</v>
      </c>
      <c r="Y123" s="6">
        <f>IF(Table1[[#This Row],[Education]]="Bachelors +",55,0)</f>
        <v>0</v>
      </c>
      <c r="Z123" s="6">
        <f>IF(Table1[[#This Row],[Salary]]&gt;=600,82.5,0)</f>
        <v>0</v>
      </c>
    </row>
    <row r="124" spans="1:28">
      <c r="A124" s="3">
        <f>Table1[[#This Row],[SL No.]]</f>
        <v>123</v>
      </c>
      <c r="B124" t="str">
        <f>Table1[[#This Row],[Case manager]]</f>
        <v>Meaad</v>
      </c>
      <c r="C124" t="str">
        <f>Table1[[#This Row],[Ref No]]</f>
        <v>JCP/25/229307</v>
      </c>
      <c r="D124" t="str">
        <f>Table1[[#This Row],[Name]]</f>
        <v>BADER ABDULNABI K. EBRAHIM</v>
      </c>
      <c r="E124" s="51">
        <f>'Placements 26'!F124</f>
        <v>45921</v>
      </c>
      <c r="F124" s="4" t="str">
        <f t="shared" ca="1" si="6"/>
        <v>Claimed</v>
      </c>
      <c r="G124" s="4"/>
      <c r="H124" s="4"/>
      <c r="I124" s="4">
        <v>45924</v>
      </c>
      <c r="J124">
        <f>IF(Table3[[#This Row],[Placement Fee &amp; Variables]]&gt;0,0,1)</f>
        <v>0</v>
      </c>
      <c r="K124" s="4">
        <f>Table3[[#This Row],[Joining Date]]+180</f>
        <v>46101</v>
      </c>
      <c r="L124" t="str">
        <f t="shared" ca="1" si="7"/>
        <v/>
      </c>
      <c r="M124" s="4">
        <v>46092</v>
      </c>
      <c r="N124">
        <f ca="1">IF(Table3[[#This Row],[6M Stat]]="Claimable",1,0)</f>
        <v>0</v>
      </c>
      <c r="O124" s="4">
        <f>Table3[[#This Row],[Joining Date]]+365</f>
        <v>46286</v>
      </c>
      <c r="P124" s="4">
        <v>46286</v>
      </c>
      <c r="Q124" t="str">
        <f t="shared" ca="1" si="5"/>
        <v/>
      </c>
      <c r="R124">
        <f ca="1">IF(Table3[[#This Row],[12 M Stat]]="Claimable",1,0)</f>
        <v>0</v>
      </c>
      <c r="S124">
        <f ca="1">Table3[[#This Row],[Placement claim Highlight]]+Table3[[#This Row],[Highlight rule 6M]]+Table3[[#This Row],[Highlight rule 12 M]]</f>
        <v>0</v>
      </c>
      <c r="T124" s="6">
        <f>SUM(Table3[[#This Row],[Placement Fee]:[Salary]])</f>
        <v>247.5</v>
      </c>
      <c r="U124" s="6"/>
      <c r="V124" s="6">
        <f>IF(Table1[[#This Row],[MoL]]="Yes",55,0)</f>
        <v>55</v>
      </c>
      <c r="W124" s="6">
        <f>IF(Table1[[#This Row],[Long MoL +3 Years]]="Yes",137.5,0)</f>
        <v>137.5</v>
      </c>
      <c r="X124" s="6">
        <f>IF(Table1[[#This Row],[Gender]]="Female",137.5,0)</f>
        <v>0</v>
      </c>
      <c r="Y124" s="6">
        <f>IF(Table1[[#This Row],[Education]]="Bachelors +",55,0)</f>
        <v>55</v>
      </c>
      <c r="Z124" s="6">
        <f>IF(Table1[[#This Row],[Salary]]&gt;=600,82.5,0)</f>
        <v>0</v>
      </c>
    </row>
    <row r="125" spans="1:28">
      <c r="A125" s="3">
        <f>Table1[[#This Row],[SL No.]]</f>
        <v>124</v>
      </c>
      <c r="B125" t="str">
        <f>Table1[[#This Row],[Case manager]]</f>
        <v>Meaad</v>
      </c>
      <c r="C125" t="str">
        <f>Table1[[#This Row],[Ref No]]</f>
        <v>JCP/25/234452</v>
      </c>
      <c r="D125" t="str">
        <f>Table1[[#This Row],[Name]]</f>
        <v>AYAH SHAFEEQ A. ABDULHUSAIN</v>
      </c>
      <c r="E125" s="4">
        <f>'Placements 26'!F125</f>
        <v>45939</v>
      </c>
      <c r="F125" s="4" t="str">
        <f t="shared" ca="1" si="6"/>
        <v>Claimable</v>
      </c>
      <c r="G125" s="4"/>
      <c r="H125" s="4"/>
      <c r="I125" s="4">
        <v>45946</v>
      </c>
      <c r="J125">
        <f>IF(Table3[[#This Row],[Placement Fee &amp; Variables]]&gt;0,0,1)</f>
        <v>0</v>
      </c>
      <c r="K125" s="4">
        <f>Table3[[#This Row],[Joining Date]]+180</f>
        <v>46119</v>
      </c>
      <c r="L125" t="str">
        <f t="shared" ca="1" si="7"/>
        <v/>
      </c>
      <c r="M125" s="4">
        <v>46133</v>
      </c>
      <c r="N125">
        <f ca="1">IF(Table3[[#This Row],[6M Stat]]="Claimable",1,0)</f>
        <v>0</v>
      </c>
      <c r="O125" s="4">
        <f>Table3[[#This Row],[Joining Date]]+365</f>
        <v>46304</v>
      </c>
      <c r="Q125" t="str">
        <f t="shared" ca="1" si="5"/>
        <v>Claimable</v>
      </c>
      <c r="R125">
        <f ca="1">IF(Table3[[#This Row],[12 M Stat]]="Claimable",1,0)</f>
        <v>1</v>
      </c>
      <c r="S125">
        <f ca="1">Table3[[#This Row],[Placement claim Highlight]]+Table3[[#This Row],[Highlight rule 6M]]+Table3[[#This Row],[Highlight rule 12 M]]</f>
        <v>1</v>
      </c>
      <c r="T125" s="6">
        <f>SUM(Table3[[#This Row],[Placement Fee]:[Salary]])</f>
        <v>385</v>
      </c>
      <c r="U125" s="6"/>
      <c r="V125" s="6">
        <f>IF(Table1[[#This Row],[MoL]]="Yes",55,0)</f>
        <v>55</v>
      </c>
      <c r="W125" s="6">
        <f>IF(Table1[[#This Row],[Long MoL +3 Years]]="Yes",137.5,0)</f>
        <v>137.5</v>
      </c>
      <c r="X125" s="6">
        <f>IF(Table1[[#This Row],[Gender]]="Female",137.5,0)</f>
        <v>137.5</v>
      </c>
      <c r="Y125" s="6">
        <f>IF(Table1[[#This Row],[Education]]="Bachelors +",55,0)</f>
        <v>55</v>
      </c>
      <c r="Z125" s="6">
        <f>IF(Table1[[#This Row],[Salary]]&gt;=600,82.5,0)</f>
        <v>0</v>
      </c>
      <c r="AB125" s="32"/>
    </row>
    <row r="126" spans="1:28">
      <c r="A126" s="3">
        <f>Table1[[#This Row],[SL No.]]</f>
        <v>125</v>
      </c>
      <c r="B126" t="str">
        <f>Table1[[#This Row],[Case manager]]</f>
        <v>meaad</v>
      </c>
      <c r="C126" t="str">
        <f>Table1[[#This Row],[Ref No]]</f>
        <v xml:space="preserve"> JCP/25/244606</v>
      </c>
      <c r="D126" t="str">
        <f>Table1[[#This Row],[Name]]</f>
        <v>ALI MANSOOR HAMAD SDAIF</v>
      </c>
      <c r="E126" s="4">
        <f>'Placements 26'!F126</f>
        <v>46316</v>
      </c>
      <c r="F126" s="4" t="str">
        <f t="shared" ca="1" si="6"/>
        <v>Claimed</v>
      </c>
      <c r="G126" s="4"/>
      <c r="H126" s="4"/>
      <c r="I126" s="4">
        <v>45957</v>
      </c>
      <c r="J126">
        <f>IF(Table3[[#This Row],[Placement Fee &amp; Variables]]&gt;0,0,1)</f>
        <v>0</v>
      </c>
      <c r="K126" s="4">
        <f>Table3[[#This Row],[Joining Date]]+180</f>
        <v>46496</v>
      </c>
      <c r="L126" t="str">
        <f t="shared" ca="1" si="7"/>
        <v/>
      </c>
      <c r="M126" s="4">
        <v>46133</v>
      </c>
      <c r="N126">
        <f ca="1">IF(Table3[[#This Row],[6M Stat]]="Claimable",1,0)</f>
        <v>0</v>
      </c>
      <c r="O126" s="4">
        <f>Table3[[#This Row],[Joining Date]]+365</f>
        <v>46681</v>
      </c>
      <c r="Q126" t="str">
        <f t="shared" ca="1" si="5"/>
        <v/>
      </c>
      <c r="R126">
        <f ca="1">IF(Table3[[#This Row],[12 M Stat]]="Claimable",1,0)</f>
        <v>0</v>
      </c>
      <c r="S126">
        <f ca="1">Table3[[#This Row],[Placement claim Highlight]]+Table3[[#This Row],[Highlight rule 6M]]+Table3[[#This Row],[Highlight rule 12 M]]</f>
        <v>0</v>
      </c>
      <c r="T126" s="6">
        <f>SUM(Table3[[#This Row],[Placement Fee]:[Salary]])</f>
        <v>192.5</v>
      </c>
      <c r="U126" s="6"/>
      <c r="V126" s="6">
        <f>IF(Table1[[#This Row],[MoL]]="Yes",55,0)</f>
        <v>55</v>
      </c>
      <c r="W126" s="6">
        <f>IF(Table1[[#This Row],[Long MoL +3 Years]]="Yes",137.5,0)</f>
        <v>137.5</v>
      </c>
      <c r="X126" s="6">
        <f>IF(Table1[[#This Row],[Gender]]="Female",137.5,0)</f>
        <v>0</v>
      </c>
      <c r="Y126" s="6">
        <f>IF(Table1[[#This Row],[Education]]="Bachelors +",55,0)</f>
        <v>0</v>
      </c>
      <c r="Z126" s="6">
        <f>IF(Table1[[#This Row],[Salary]]&gt;=600,82.5,0)</f>
        <v>0</v>
      </c>
    </row>
    <row r="127" spans="1:28">
      <c r="A127" s="3">
        <f>Table1[[#This Row],[SL No.]]</f>
        <v>126</v>
      </c>
      <c r="B127" t="str">
        <f>Table1[[#This Row],[Case manager]]</f>
        <v>Meaad</v>
      </c>
      <c r="C127" t="str">
        <f>Table1[[#This Row],[Ref No]]</f>
        <v>JCP/25/207044</v>
      </c>
      <c r="D127" t="str">
        <f>Table1[[#This Row],[Name]]</f>
        <v>SARA NASER A. ALATTAR</v>
      </c>
      <c r="E127" s="4">
        <f>'Placements 26'!F127</f>
        <v>46316</v>
      </c>
      <c r="F127" s="4" t="str">
        <f t="shared" ca="1" si="6"/>
        <v>Claimed</v>
      </c>
      <c r="G127" s="4"/>
      <c r="H127" s="4"/>
      <c r="I127" s="4">
        <v>45959</v>
      </c>
      <c r="J127">
        <f>IF(Table3[[#This Row],[Placement Fee &amp; Variables]]&gt;0,0,1)</f>
        <v>0</v>
      </c>
      <c r="K127" s="4">
        <f>Table3[[#This Row],[Joining Date]]+180</f>
        <v>46496</v>
      </c>
      <c r="L127" t="str">
        <f t="shared" ca="1" si="7"/>
        <v/>
      </c>
      <c r="M127" s="4">
        <v>46133</v>
      </c>
      <c r="N127">
        <f ca="1">IF(Table3[[#This Row],[6M Stat]]="Claimable",1,0)</f>
        <v>0</v>
      </c>
      <c r="O127" s="4">
        <f>Table3[[#This Row],[Joining Date]]+365</f>
        <v>46681</v>
      </c>
      <c r="Q127" t="str">
        <f t="shared" ca="1" si="5"/>
        <v/>
      </c>
      <c r="R127">
        <f ca="1">IF(Table3[[#This Row],[12 M Stat]]="Claimable",1,0)</f>
        <v>0</v>
      </c>
      <c r="S127">
        <f ca="1">Table3[[#This Row],[Placement claim Highlight]]+Table3[[#This Row],[Highlight rule 6M]]+Table3[[#This Row],[Highlight rule 12 M]]</f>
        <v>0</v>
      </c>
      <c r="T127" s="6">
        <f>SUM(Table3[[#This Row],[Placement Fee]:[Salary]])</f>
        <v>330</v>
      </c>
      <c r="U127" s="6"/>
      <c r="V127" s="6">
        <f>IF(Table1[[#This Row],[MoL]]="Yes",55,0)</f>
        <v>55</v>
      </c>
      <c r="W127" s="6">
        <f>IF(Table1[[#This Row],[Long MoL +3 Years]]="Yes",137.5,0)</f>
        <v>137.5</v>
      </c>
      <c r="X127" s="6">
        <f>IF(Table1[[#This Row],[Gender]]="Female",137.5,0)</f>
        <v>0</v>
      </c>
      <c r="Y127" s="6">
        <f>IF(Table1[[#This Row],[Education]]="Bachelors +",55,0)</f>
        <v>55</v>
      </c>
      <c r="Z127" s="6">
        <f>IF(Table1[[#This Row],[Salary]]&gt;=600,82.5,0)</f>
        <v>82.5</v>
      </c>
    </row>
    <row r="128" spans="1:28">
      <c r="A128" s="3">
        <f>Table1[[#This Row],[SL No.]]</f>
        <v>127</v>
      </c>
      <c r="B128" t="str">
        <f>Table1[[#This Row],[Case manager]]</f>
        <v>Meaad</v>
      </c>
      <c r="C128" t="str">
        <f>Table1[[#This Row],[Ref No]]</f>
        <v>JCP/25/229327</v>
      </c>
      <c r="D128" t="str">
        <f>Table1[[#This Row],[Name]]</f>
        <v>FATIMA ALTUHAMI BINAASHER ALABSI</v>
      </c>
      <c r="E128" s="4">
        <f>'Placements 26'!F128</f>
        <v>45931</v>
      </c>
      <c r="F128" s="4" t="str">
        <f t="shared" ca="1" si="6"/>
        <v>Claimable</v>
      </c>
      <c r="G128" s="4"/>
      <c r="H128" s="4"/>
      <c r="I128" s="4">
        <v>45959</v>
      </c>
      <c r="J128">
        <f>IF(Table3[[#This Row],[Placement Fee &amp; Variables]]&gt;0,0,1)</f>
        <v>0</v>
      </c>
      <c r="K128" s="4">
        <f>Table3[[#This Row],[Joining Date]]+180</f>
        <v>46111</v>
      </c>
      <c r="L128" t="str">
        <f t="shared" ca="1" si="7"/>
        <v/>
      </c>
      <c r="M128" s="4">
        <v>46133</v>
      </c>
      <c r="N128">
        <f ca="1">IF(Table3[[#This Row],[6M Stat]]="Claimable",1,0)</f>
        <v>0</v>
      </c>
      <c r="O128" s="4">
        <f>Table3[[#This Row],[Joining Date]]+365</f>
        <v>46296</v>
      </c>
      <c r="Q128" t="str">
        <f t="shared" ca="1" si="5"/>
        <v>Claimable</v>
      </c>
      <c r="R128">
        <f ca="1">IF(Table3[[#This Row],[12 M Stat]]="Claimable",1,0)</f>
        <v>1</v>
      </c>
      <c r="S128">
        <f ca="1">Table3[[#This Row],[Placement claim Highlight]]+Table3[[#This Row],[Highlight rule 6M]]+Table3[[#This Row],[Highlight rule 12 M]]</f>
        <v>1</v>
      </c>
      <c r="T128" s="6">
        <f>SUM(Table3[[#This Row],[Placement Fee]:[Salary]])</f>
        <v>330</v>
      </c>
      <c r="U128" s="6"/>
      <c r="V128" s="6">
        <f>IF(Table1[[#This Row],[MoL]]="Yes",55,0)</f>
        <v>55</v>
      </c>
      <c r="W128" s="6">
        <f>IF(Table1[[#This Row],[Long MoL +3 Years]]="Yes",137.5,0)</f>
        <v>137.5</v>
      </c>
      <c r="X128" s="6">
        <f>IF(Table1[[#This Row],[Gender]]="Female",137.5,0)</f>
        <v>137.5</v>
      </c>
      <c r="Y128" s="6">
        <f>IF(Table1[[#This Row],[Education]]="Bachelors +",55,0)</f>
        <v>0</v>
      </c>
      <c r="Z128" s="6">
        <f>IF(Table1[[#This Row],[Salary]]&gt;=600,82.5,0)</f>
        <v>0</v>
      </c>
    </row>
    <row r="129" spans="1:26">
      <c r="A129" s="3">
        <f>Table1[[#This Row],[SL No.]]</f>
        <v>128</v>
      </c>
      <c r="B129" t="str">
        <f>Table1[[#This Row],[Case manager]]</f>
        <v>Meaad</v>
      </c>
      <c r="C129" t="str">
        <f>Table1[[#This Row],[Ref No]]</f>
        <v>JCP/25/245831/PMT/002</v>
      </c>
      <c r="D129" t="str">
        <f>Table1[[#This Row],[Name]]</f>
        <v>ALI KHALIL BAQER EATMADI</v>
      </c>
      <c r="E129" s="4">
        <f>'Placements 26'!F129</f>
        <v>45942</v>
      </c>
      <c r="F129" s="4" t="str">
        <f t="shared" ca="1" si="6"/>
        <v>Claimable</v>
      </c>
      <c r="G129" s="4"/>
      <c r="H129" s="4"/>
      <c r="I129" s="4">
        <v>46133</v>
      </c>
      <c r="J129">
        <f>IF(Table3[[#This Row],[Placement Fee &amp; Variables]]&gt;0,0,1)</f>
        <v>0</v>
      </c>
      <c r="K129" s="4">
        <f>Table3[[#This Row],[Joining Date]]+180</f>
        <v>46122</v>
      </c>
      <c r="L129" t="str">
        <f t="shared" ca="1" si="7"/>
        <v/>
      </c>
      <c r="M129" s="4">
        <v>46133</v>
      </c>
      <c r="N129">
        <f ca="1">IF(Table3[[#This Row],[6M Stat]]="Claimable",1,0)</f>
        <v>0</v>
      </c>
      <c r="O129" s="4">
        <f>Table3[[#This Row],[Joining Date]]+365</f>
        <v>46307</v>
      </c>
      <c r="Q129" t="str">
        <f t="shared" ca="1" si="5"/>
        <v>Claimable</v>
      </c>
      <c r="R129">
        <f ca="1">IF(Table3[[#This Row],[12 M Stat]]="Claimable",1,0)</f>
        <v>1</v>
      </c>
      <c r="S129">
        <f ca="1">Table3[[#This Row],[Placement claim Highlight]]+Table3[[#This Row],[Highlight rule 6M]]+Table3[[#This Row],[Highlight rule 12 M]]</f>
        <v>1</v>
      </c>
      <c r="T129" s="6">
        <f>SUM(Table3[[#This Row],[Placement Fee]:[Salary]])</f>
        <v>247.5</v>
      </c>
      <c r="U129" s="6"/>
      <c r="V129" s="6">
        <f>IF(Table1[[#This Row],[MoL]]="Yes",55,0)</f>
        <v>55</v>
      </c>
      <c r="W129" s="6">
        <f>IF(Table1[[#This Row],[Long MoL +3 Years]]="Yes",137.5,0)</f>
        <v>137.5</v>
      </c>
      <c r="X129" s="6">
        <f>IF(Table1[[#This Row],[Gender]]="Female",137.5,0)</f>
        <v>0</v>
      </c>
      <c r="Y129" s="6">
        <f>IF(Table1[[#This Row],[Education]]="Bachelors +",55,0)</f>
        <v>55</v>
      </c>
      <c r="Z129" s="6">
        <f>IF(Table1[[#This Row],[Salary]]&gt;=600,82.5,0)</f>
        <v>0</v>
      </c>
    </row>
    <row r="130" spans="1:26">
      <c r="A130" s="3">
        <f>Table1[[#This Row],[SL No.]]</f>
        <v>129</v>
      </c>
      <c r="B130" t="str">
        <f>Table1[[#This Row],[Case manager]]</f>
        <v>Malak</v>
      </c>
      <c r="C130" t="str">
        <f>Table1[[#This Row],[Ref No]]</f>
        <v>26/290268</v>
      </c>
      <c r="D130" t="str">
        <f>Table1[[#This Row],[Name]]</f>
        <v>Natheer Mohamed A.Mohsen Alshowaikh</v>
      </c>
      <c r="E130" s="4">
        <f>'Placements 26'!F130</f>
        <v>46110</v>
      </c>
      <c r="F130" s="4" t="str">
        <f t="shared" ca="1" si="6"/>
        <v>Claimable</v>
      </c>
      <c r="G130" s="4"/>
      <c r="H130" s="4"/>
      <c r="I130" s="4">
        <v>46135</v>
      </c>
      <c r="J130">
        <f>IF(Table3[[#This Row],[Placement Fee &amp; Variables]]&gt;0,0,1)</f>
        <v>0</v>
      </c>
      <c r="K130" s="4">
        <f>Table3[[#This Row],[Joining Date]]+180</f>
        <v>46290</v>
      </c>
      <c r="L130" t="str">
        <f t="shared" ca="1" si="7"/>
        <v>Claimable</v>
      </c>
      <c r="N130">
        <f ca="1">IF(Table3[[#This Row],[6M Stat]]="Claimable",1,0)</f>
        <v>1</v>
      </c>
      <c r="O130" s="4">
        <f>Table3[[#This Row],[Joining Date]]+365</f>
        <v>46475</v>
      </c>
      <c r="Q130" t="str">
        <f t="shared" ca="1" si="5"/>
        <v/>
      </c>
      <c r="R130">
        <f ca="1">IF(Table3[[#This Row],[12 M Stat]]="Claimable",1,0)</f>
        <v>0</v>
      </c>
      <c r="S130">
        <f ca="1">Table3[[#This Row],[Placement claim Highlight]]+Table3[[#This Row],[Highlight rule 6M]]+Table3[[#This Row],[Highlight rule 12 M]]</f>
        <v>1</v>
      </c>
      <c r="T130" s="6">
        <f>SUM(Table3[[#This Row],[Placement Fee]:[Salary]])</f>
        <v>0</v>
      </c>
      <c r="U130" s="6"/>
      <c r="V130" s="6">
        <f>IF(Table1[[#This Row],[MoL]]="Yes",55,0)</f>
        <v>0</v>
      </c>
      <c r="W130" s="6">
        <f>IF(Table1[[#This Row],[Long MoL +3 Years]]="Yes",137.5,0)</f>
        <v>0</v>
      </c>
      <c r="X130" s="6">
        <f>IF(Table1[[#This Row],[Gender]]="Female",137.5,0)</f>
        <v>0</v>
      </c>
      <c r="Y130" s="6">
        <f>IF(Table1[[#This Row],[Education]]="Bachelors +",55,0)</f>
        <v>0</v>
      </c>
      <c r="Z130" s="6">
        <f>IF(Table1[[#This Row],[Salary]]&gt;=600,82.5,0)</f>
        <v>0</v>
      </c>
    </row>
    <row r="131" spans="1:26">
      <c r="A131" s="3">
        <f>Table1[[#This Row],[SL No.]]</f>
        <v>130</v>
      </c>
      <c r="B131" t="str">
        <f>Table1[[#This Row],[Case manager]]</f>
        <v>Meaad</v>
      </c>
      <c r="C131" t="str">
        <f>Table1[[#This Row],[Ref No]]</f>
        <v>JCP/26/270511</v>
      </c>
      <c r="D131" t="str">
        <f>Table1[[#This Row],[Name]]</f>
        <v xml:space="preserve">Ahmed Khalid </v>
      </c>
      <c r="E131" s="4">
        <f>'Placements 26'!F131</f>
        <v>46131</v>
      </c>
      <c r="F131" s="4" t="str">
        <f t="shared" ca="1" si="6"/>
        <v>Claimable</v>
      </c>
      <c r="G131" s="4"/>
      <c r="H131" s="4"/>
      <c r="I131" s="4">
        <v>46203</v>
      </c>
      <c r="J131">
        <f>IF(Table3[[#This Row],[Placement Fee &amp; Variables]]&gt;0,0,1)</f>
        <v>0</v>
      </c>
      <c r="K131" s="4">
        <f>Table3[[#This Row],[Joining Date]]+180</f>
        <v>46311</v>
      </c>
      <c r="L131" t="str">
        <f t="shared" ca="1" si="7"/>
        <v>Claimable</v>
      </c>
      <c r="N131">
        <f ca="1">IF(Table3[[#This Row],[6M Stat]]="Claimable",1,0)</f>
        <v>1</v>
      </c>
      <c r="O131" s="4">
        <f>Table3[[#This Row],[Joining Date]]+365</f>
        <v>46496</v>
      </c>
      <c r="Q131" t="str">
        <f t="shared" ref="Q131:Q194" ca="1" si="8">IF(AND(P131="", O131&lt;=TODAY()), "Claimable", "")</f>
        <v/>
      </c>
      <c r="R131">
        <f ca="1">IF(Table3[[#This Row],[12 M Stat]]="Claimable",1,0)</f>
        <v>0</v>
      </c>
      <c r="S131">
        <f ca="1">Table3[[#This Row],[Placement claim Highlight]]+Table3[[#This Row],[Highlight rule 6M]]+Table3[[#This Row],[Highlight rule 12 M]]</f>
        <v>1</v>
      </c>
      <c r="T131" s="6">
        <f>SUM(Table3[[#This Row],[Placement Fee]:[Salary]])</f>
        <v>110</v>
      </c>
      <c r="U131" s="6"/>
      <c r="V131" s="6">
        <f>IF(Table1[[#This Row],[MoL]]="Yes",55,0)</f>
        <v>55</v>
      </c>
      <c r="W131" s="6">
        <f>IF(Table1[[#This Row],[Long MoL +3 Years]]="Yes",137.5,0)</f>
        <v>0</v>
      </c>
      <c r="X131" s="6">
        <f>IF(Table1[[#This Row],[Gender]]="Female",137.5,0)</f>
        <v>0</v>
      </c>
      <c r="Y131" s="6">
        <f>IF(Table1[[#This Row],[Education]]="Bachelors +",55,0)</f>
        <v>55</v>
      </c>
      <c r="Z131" s="6">
        <f>IF(Table1[[#This Row],[Salary]]&gt;=600,82.5,0)</f>
        <v>0</v>
      </c>
    </row>
    <row r="132" spans="1:26">
      <c r="A132" s="3">
        <f>Table1[[#This Row],[SL No.]]</f>
        <v>131</v>
      </c>
      <c r="B132" t="str">
        <f>Table1[[#This Row],[Case manager]]</f>
        <v>Khalifa</v>
      </c>
      <c r="C132">
        <f>Table1[[#This Row],[Ref No]]</f>
        <v>0</v>
      </c>
      <c r="D132">
        <f>Table1[[#This Row],[Name]]</f>
        <v>0</v>
      </c>
      <c r="E132" s="4" t="str">
        <f>'Placements 26'!F132</f>
        <v>-</v>
      </c>
      <c r="F132" s="4" t="e">
        <f t="shared" ca="1" si="6"/>
        <v>#VALUE!</v>
      </c>
      <c r="G132" s="4"/>
      <c r="H132" s="4"/>
      <c r="J132">
        <f>IF(Table3[[#This Row],[Placement Fee &amp; Variables]]&gt;0,0,1)</f>
        <v>1</v>
      </c>
      <c r="K132" s="4" t="e">
        <f>Table3[[#This Row],[Joining Date]]+180</f>
        <v>#VALUE!</v>
      </c>
      <c r="L132" t="e">
        <f t="shared" ca="1" si="7"/>
        <v>#VALUE!</v>
      </c>
      <c r="N132" t="e">
        <f ca="1">IF(Table3[[#This Row],[6M Stat]]="Claimable",1,0)</f>
        <v>#VALUE!</v>
      </c>
      <c r="O132" s="4" t="e">
        <f>Table3[[#This Row],[Joining Date]]+365</f>
        <v>#VALUE!</v>
      </c>
      <c r="Q132" t="e">
        <f t="shared" ca="1" si="8"/>
        <v>#VALUE!</v>
      </c>
      <c r="R132" t="e">
        <f ca="1">IF(Table3[[#This Row],[12 M Stat]]="Claimable",1,0)</f>
        <v>#VALUE!</v>
      </c>
      <c r="S132" t="e">
        <f ca="1">Table3[[#This Row],[Placement claim Highlight]]+Table3[[#This Row],[Highlight rule 6M]]+Table3[[#This Row],[Highlight rule 12 M]]</f>
        <v>#VALUE!</v>
      </c>
      <c r="T132" s="6">
        <f>SUM(Table3[[#This Row],[Placement Fee]:[Salary]])</f>
        <v>55</v>
      </c>
      <c r="U132" s="6"/>
      <c r="V132" s="6">
        <f>IF(Table1[[#This Row],[MoL]]="Yes",55,0)</f>
        <v>0</v>
      </c>
      <c r="W132" s="6">
        <f>IF(Table1[[#This Row],[Long MoL +3 Years]]="Yes",137.5,0)</f>
        <v>0</v>
      </c>
      <c r="X132" s="6">
        <f>IF(Table1[[#This Row],[Gender]]="Female",137.5,0)</f>
        <v>0</v>
      </c>
      <c r="Y132" s="6">
        <f>IF(Table1[[#This Row],[Education]]="Bachelors +",55,0)</f>
        <v>55</v>
      </c>
      <c r="Z132" s="6">
        <f>IF(Table1[[#This Row],[Salary]]&gt;=600,82.5,0)</f>
        <v>0</v>
      </c>
    </row>
    <row r="133" spans="1:26">
      <c r="A133" s="3">
        <f>Table1[[#This Row],[SL No.]]</f>
        <v>132</v>
      </c>
      <c r="B133" t="str">
        <f>Table1[[#This Row],[Case manager]]</f>
        <v>Zainab Mattar</v>
      </c>
      <c r="C133" t="str">
        <f>Table1[[#This Row],[Ref No]]</f>
        <v>JCP/25/217083</v>
      </c>
      <c r="D133" t="str">
        <f>Table1[[#This Row],[Name]]</f>
        <v>REEMA ARSALAN J. ARAYEDH</v>
      </c>
      <c r="E133" s="4">
        <f>'Placements 26'!F133</f>
        <v>46117</v>
      </c>
      <c r="F133" s="4" t="str">
        <f t="shared" ca="1" si="6"/>
        <v>Claimable</v>
      </c>
      <c r="G133" s="4"/>
      <c r="H133" s="4"/>
      <c r="J133">
        <f>IF(Table3[[#This Row],[Placement Fee &amp; Variables]]&gt;0,0,1)</f>
        <v>1</v>
      </c>
      <c r="K133" s="4">
        <f>Table3[[#This Row],[Joining Date]]+180</f>
        <v>46297</v>
      </c>
      <c r="L133" t="str">
        <f t="shared" ca="1" si="7"/>
        <v>Claimable</v>
      </c>
      <c r="N133">
        <f ca="1">IF(Table3[[#This Row],[6M Stat]]="Claimable",1,0)</f>
        <v>1</v>
      </c>
      <c r="O133" s="4">
        <f>Table3[[#This Row],[Joining Date]]+365</f>
        <v>46482</v>
      </c>
      <c r="Q133" t="str">
        <f t="shared" ca="1" si="8"/>
        <v/>
      </c>
      <c r="R133">
        <f ca="1">IF(Table3[[#This Row],[12 M Stat]]="Claimable",1,0)</f>
        <v>0</v>
      </c>
      <c r="S133">
        <f ca="1">Table3[[#This Row],[Placement claim Highlight]]+Table3[[#This Row],[Highlight rule 6M]]+Table3[[#This Row],[Highlight rule 12 M]]</f>
        <v>2</v>
      </c>
      <c r="T133" s="6">
        <f>SUM(Table3[[#This Row],[Placement Fee]:[Salary]])</f>
        <v>247.5</v>
      </c>
      <c r="U133" s="6"/>
      <c r="V133" s="6">
        <f>IF(Table1[[#This Row],[MoL]]="Yes",55,0)</f>
        <v>55</v>
      </c>
      <c r="W133" s="6">
        <f>IF(Table1[[#This Row],[Long MoL +3 Years]]="Yes",137.5,0)</f>
        <v>0</v>
      </c>
      <c r="X133" s="6">
        <f>IF(Table1[[#This Row],[Gender]]="Female",137.5,0)</f>
        <v>137.5</v>
      </c>
      <c r="Y133" s="6">
        <f>IF(Table1[[#This Row],[Education]]="Bachelors +",55,0)</f>
        <v>55</v>
      </c>
      <c r="Z133" s="6">
        <f>IF(Table1[[#This Row],[Salary]]&gt;=600,82.5,0)</f>
        <v>0</v>
      </c>
    </row>
    <row r="134" spans="1:26">
      <c r="A134" s="3">
        <f>Table1[[#This Row],[SL No.]]</f>
        <v>133</v>
      </c>
      <c r="B134" t="str">
        <f>Table1[[#This Row],[Case manager]]</f>
        <v>Dina</v>
      </c>
      <c r="C134" t="str">
        <f>Table1[[#This Row],[Ref No]]</f>
        <v>JCP/24/106751</v>
      </c>
      <c r="D134" t="str">
        <f>Table1[[#This Row],[Name]]</f>
        <v>Zia Urrahman Fida</v>
      </c>
      <c r="E134" s="4">
        <f>'Placements 26'!F134</f>
        <v>45769</v>
      </c>
      <c r="F134" s="4" t="str">
        <f t="shared" ca="1" si="6"/>
        <v>Claimable</v>
      </c>
      <c r="G134" s="4"/>
      <c r="H134" s="4"/>
      <c r="J134">
        <f>IF(Table3[[#This Row],[Placement Fee &amp; Variables]]&gt;0,0,1)</f>
        <v>1</v>
      </c>
      <c r="K134" s="4">
        <f>Table3[[#This Row],[Joining Date]]+180</f>
        <v>45949</v>
      </c>
      <c r="L134" t="str">
        <f t="shared" ca="1" si="7"/>
        <v>Claimable</v>
      </c>
      <c r="N134">
        <f ca="1">IF(Table3[[#This Row],[6M Stat]]="Claimable",1,0)</f>
        <v>1</v>
      </c>
      <c r="O134" s="4">
        <f>Table3[[#This Row],[Joining Date]]+365</f>
        <v>46134</v>
      </c>
      <c r="Q134" t="str">
        <f t="shared" ca="1" si="8"/>
        <v>Claimable</v>
      </c>
      <c r="R134">
        <f ca="1">IF(Table3[[#This Row],[12 M Stat]]="Claimable",1,0)</f>
        <v>1</v>
      </c>
      <c r="S134">
        <f ca="1">Table3[[#This Row],[Placement claim Highlight]]+Table3[[#This Row],[Highlight rule 6M]]+Table3[[#This Row],[Highlight rule 12 M]]</f>
        <v>3</v>
      </c>
      <c r="T134" s="6">
        <f>SUM(Table3[[#This Row],[Placement Fee]:[Salary]])</f>
        <v>192.5</v>
      </c>
      <c r="U134" s="6"/>
      <c r="V134" s="6">
        <f>IF(Table1[[#This Row],[MoL]]="Yes",55,0)</f>
        <v>55</v>
      </c>
      <c r="W134" s="6">
        <f>IF(Table1[[#This Row],[Long MoL +3 Years]]="Yes",137.5,0)</f>
        <v>137.5</v>
      </c>
      <c r="X134" s="6">
        <f>IF(Table1[[#This Row],[Gender]]="Female",137.5,0)</f>
        <v>0</v>
      </c>
      <c r="Y134" s="6">
        <f>IF(Table1[[#This Row],[Education]]="Bachelors +",55,0)</f>
        <v>0</v>
      </c>
      <c r="Z134" s="6">
        <f>IF(Table1[[#This Row],[Salary]]&gt;=600,82.5,0)</f>
        <v>0</v>
      </c>
    </row>
    <row r="135" spans="1:26">
      <c r="A135" s="3">
        <f>Table1[[#This Row],[SL No.]]</f>
        <v>134</v>
      </c>
      <c r="B135" t="str">
        <f>Table1[[#This Row],[Case manager]]</f>
        <v>Meaad</v>
      </c>
      <c r="C135" t="str">
        <f>Table1[[#This Row],[Ref No]]</f>
        <v>JCP/25/193738</v>
      </c>
      <c r="D135" t="str">
        <f>Table1[[#This Row],[Name]]</f>
        <v>AHMED MOHAMMED ABDUL ALSHOALA</v>
      </c>
      <c r="E135" s="4">
        <v>46119</v>
      </c>
      <c r="F135" s="4" t="str">
        <f t="shared" ca="1" si="6"/>
        <v>Claimable</v>
      </c>
      <c r="G135" s="4"/>
      <c r="H135" s="4"/>
      <c r="I135" s="4">
        <v>46203</v>
      </c>
      <c r="J135">
        <f>IF(Table3[[#This Row],[Placement Fee &amp; Variables]]&gt;0,0,1)</f>
        <v>0</v>
      </c>
      <c r="K135" s="4">
        <f>Table3[[#This Row],[Joining Date]]+180</f>
        <v>46299</v>
      </c>
      <c r="L135" t="str">
        <f t="shared" ca="1" si="7"/>
        <v>Claimable</v>
      </c>
      <c r="N135">
        <f ca="1">IF(Table3[[#This Row],[6M Stat]]="Claimable",1,0)</f>
        <v>1</v>
      </c>
      <c r="O135" s="4">
        <f>Table3[[#This Row],[Joining Date]]+365</f>
        <v>46484</v>
      </c>
      <c r="Q135" t="str">
        <f t="shared" ca="1" si="8"/>
        <v/>
      </c>
      <c r="R135">
        <f ca="1">IF(Table3[[#This Row],[12 M Stat]]="Claimable",1,0)</f>
        <v>0</v>
      </c>
      <c r="S135">
        <f ca="1">Table3[[#This Row],[Placement claim Highlight]]+Table3[[#This Row],[Highlight rule 6M]]+Table3[[#This Row],[Highlight rule 12 M]]</f>
        <v>1</v>
      </c>
      <c r="T135" s="6">
        <f>SUM(Table3[[#This Row],[Placement Fee]:[Salary]])</f>
        <v>192.5</v>
      </c>
      <c r="U135" s="6"/>
      <c r="V135" s="6">
        <f>IF(Table1[[#This Row],[MoL]]="Yes",55,0)</f>
        <v>55</v>
      </c>
      <c r="W135" s="6">
        <f>IF(Table1[[#This Row],[Long MoL +3 Years]]="Yes",137.5,0)</f>
        <v>137.5</v>
      </c>
      <c r="X135" s="6">
        <f>IF(Table1[[#This Row],[Gender]]="Female",137.5,0)</f>
        <v>0</v>
      </c>
      <c r="Y135" s="6">
        <f>IF(Table1[[#This Row],[Education]]="Bachelors +",55,0)</f>
        <v>0</v>
      </c>
      <c r="Z135" s="6">
        <f>IF(Table1[[#This Row],[Salary]]&gt;=600,82.5,0)</f>
        <v>0</v>
      </c>
    </row>
    <row r="136" spans="1:26">
      <c r="A136" s="3">
        <f>Table1[[#This Row],[SL No.]]</f>
        <v>135</v>
      </c>
      <c r="B136" t="str">
        <f>Table1[[#This Row],[Case manager]]</f>
        <v>Dina</v>
      </c>
      <c r="C136" t="str">
        <f>Table1[[#This Row],[Ref No]]</f>
        <v>JCP/25/167732</v>
      </c>
      <c r="D136" t="str">
        <f>Table1[[#This Row],[Name]]</f>
        <v>BASEL SHAKER ALI MANSOOR ALI</v>
      </c>
      <c r="E136" s="4">
        <f>'Placements 26'!F136</f>
        <v>46061</v>
      </c>
      <c r="F136" s="4" t="str">
        <f t="shared" ca="1" si="6"/>
        <v>Claimable</v>
      </c>
      <c r="G136" s="4"/>
      <c r="H136" s="4"/>
      <c r="I136" s="4">
        <v>46153</v>
      </c>
      <c r="J136">
        <f>IF(Table3[[#This Row],[Placement Fee &amp; Variables]]&gt;0,0,1)</f>
        <v>0</v>
      </c>
      <c r="K136" s="4">
        <f>Table3[[#This Row],[Joining Date]]+180</f>
        <v>46241</v>
      </c>
      <c r="L136" t="str">
        <f t="shared" ca="1" si="7"/>
        <v>Claimable</v>
      </c>
      <c r="N136">
        <f ca="1">IF(Table3[[#This Row],[6M Stat]]="Claimable",1,0)</f>
        <v>1</v>
      </c>
      <c r="O136" s="4">
        <f>Table3[[#This Row],[Joining Date]]+365</f>
        <v>46426</v>
      </c>
      <c r="Q136" t="str">
        <f t="shared" ca="1" si="8"/>
        <v/>
      </c>
      <c r="R136">
        <f ca="1">IF(Table3[[#This Row],[12 M Stat]]="Claimable",1,0)</f>
        <v>0</v>
      </c>
      <c r="S136">
        <f ca="1">Table3[[#This Row],[Placement claim Highlight]]+Table3[[#This Row],[Highlight rule 6M]]+Table3[[#This Row],[Highlight rule 12 M]]</f>
        <v>1</v>
      </c>
      <c r="T136" s="6">
        <f>SUM(Table3[[#This Row],[Placement Fee]:[Salary]])</f>
        <v>55</v>
      </c>
      <c r="U136" s="6"/>
      <c r="V136" s="6">
        <f>IF(Table1[[#This Row],[MoL]]="Yes",55,0)</f>
        <v>55</v>
      </c>
      <c r="W136" s="6">
        <f>IF(Table1[[#This Row],[Long MoL +3 Years]]="Yes",137.5,0)</f>
        <v>0</v>
      </c>
      <c r="X136" s="6">
        <f>IF(Table1[[#This Row],[Gender]]="Female",137.5,0)</f>
        <v>0</v>
      </c>
      <c r="Y136" s="6">
        <f>IF(Table1[[#This Row],[Education]]="Bachelors +",55,0)</f>
        <v>0</v>
      </c>
      <c r="Z136" s="6">
        <f>IF(Table1[[#This Row],[Salary]]&gt;=600,82.5,0)</f>
        <v>0</v>
      </c>
    </row>
    <row r="137" spans="1:26">
      <c r="A137" s="3">
        <f>Table1[[#This Row],[SL No.]]</f>
        <v>136</v>
      </c>
      <c r="B137" t="str">
        <f>Table1[[#This Row],[Case manager]]</f>
        <v>Dina</v>
      </c>
      <c r="C137" t="str">
        <f>Table1[[#This Row],[Ref No]]</f>
        <v>JCP/26/283501</v>
      </c>
      <c r="D137" t="str">
        <f>Table1[[#This Row],[Name]]</f>
        <v>AAMER ALI HASAN ALMUTAWA</v>
      </c>
      <c r="E137" s="4">
        <f>'Placements 26'!F137</f>
        <v>46078</v>
      </c>
      <c r="F137" s="4" t="str">
        <f t="shared" ca="1" si="6"/>
        <v>Claimable</v>
      </c>
      <c r="G137" s="4"/>
      <c r="H137" s="4"/>
      <c r="I137" s="4">
        <v>46159</v>
      </c>
      <c r="J137">
        <f>IF(Table3[[#This Row],[Placement Fee &amp; Variables]]&gt;0,0,1)</f>
        <v>0</v>
      </c>
      <c r="K137" s="4">
        <f>Table3[[#This Row],[Joining Date]]+180</f>
        <v>46258</v>
      </c>
      <c r="L137" t="str">
        <f t="shared" ca="1" si="7"/>
        <v>Claimable</v>
      </c>
      <c r="N137">
        <f ca="1">IF(Table3[[#This Row],[6M Stat]]="Claimable",1,0)</f>
        <v>1</v>
      </c>
      <c r="O137" s="4">
        <f>Table3[[#This Row],[Joining Date]]+365</f>
        <v>46443</v>
      </c>
      <c r="Q137" t="str">
        <f t="shared" ca="1" si="8"/>
        <v/>
      </c>
      <c r="R137">
        <f ca="1">IF(Table3[[#This Row],[12 M Stat]]="Claimable",1,0)</f>
        <v>0</v>
      </c>
      <c r="S137">
        <f ca="1">Table3[[#This Row],[Placement claim Highlight]]+Table3[[#This Row],[Highlight rule 6M]]+Table3[[#This Row],[Highlight rule 12 M]]</f>
        <v>1</v>
      </c>
      <c r="T137" s="6">
        <f>SUM(Table3[[#This Row],[Placement Fee]:[Salary]])</f>
        <v>137.5</v>
      </c>
      <c r="U137" s="6"/>
      <c r="V137" s="6">
        <f>IF(Table1[[#This Row],[MoL]]="Yes",55,0)</f>
        <v>0</v>
      </c>
      <c r="W137" s="6">
        <f>IF(Table1[[#This Row],[Long MoL +3 Years]]="Yes",137.5,0)</f>
        <v>0</v>
      </c>
      <c r="X137" s="6">
        <f>IF(Table1[[#This Row],[Gender]]="Female",137.5,0)</f>
        <v>0</v>
      </c>
      <c r="Y137" s="6">
        <f>IF(Table1[[#This Row],[Education]]="Bachelors +",55,0)</f>
        <v>55</v>
      </c>
      <c r="Z137" s="6">
        <f>IF(Table1[[#This Row],[Salary]]&gt;=600,82.5,0)</f>
        <v>82.5</v>
      </c>
    </row>
    <row r="138" spans="1:26">
      <c r="A138" s="3">
        <f>Table1[[#This Row],[SL No.]]</f>
        <v>137</v>
      </c>
      <c r="B138" t="str">
        <f>Table1[[#This Row],[Case manager]]</f>
        <v>Dina</v>
      </c>
      <c r="C138" t="str">
        <f>Table1[[#This Row],[Ref No]]</f>
        <v>JCP/25/264214</v>
      </c>
      <c r="D138" t="str">
        <f>Table1[[#This Row],[Name]]</f>
        <v>FOZAN KHAN MANZOOR Ali MUZAFFAR</v>
      </c>
      <c r="E138" s="4">
        <f>'Placements 26'!F138</f>
        <v>46068</v>
      </c>
      <c r="F138" s="4" t="str">
        <f t="shared" ca="1" si="6"/>
        <v>Claimable</v>
      </c>
      <c r="G138" s="4"/>
      <c r="H138" s="4"/>
      <c r="I138" s="4">
        <v>46160</v>
      </c>
      <c r="J138">
        <f>IF(Table3[[#This Row],[Placement Fee &amp; Variables]]&gt;0,0,1)</f>
        <v>0</v>
      </c>
      <c r="K138" s="4">
        <f>Table3[[#This Row],[Joining Date]]+180</f>
        <v>46248</v>
      </c>
      <c r="L138" t="str">
        <f t="shared" ca="1" si="7"/>
        <v>Claimable</v>
      </c>
      <c r="N138">
        <f ca="1">IF(Table3[[#This Row],[6M Stat]]="Claimable",1,0)</f>
        <v>1</v>
      </c>
      <c r="O138" s="4">
        <f>Table3[[#This Row],[Joining Date]]+365</f>
        <v>46433</v>
      </c>
      <c r="Q138" t="str">
        <f t="shared" ca="1" si="8"/>
        <v/>
      </c>
      <c r="R138">
        <f ca="1">IF(Table3[[#This Row],[12 M Stat]]="Claimable",1,0)</f>
        <v>0</v>
      </c>
      <c r="S138">
        <f ca="1">Table3[[#This Row],[Placement claim Highlight]]+Table3[[#This Row],[Highlight rule 6M]]+Table3[[#This Row],[Highlight rule 12 M]]</f>
        <v>1</v>
      </c>
      <c r="T138" s="6">
        <f>SUM(Table3[[#This Row],[Placement Fee]:[Salary]])</f>
        <v>137.5</v>
      </c>
      <c r="U138" s="6"/>
      <c r="V138" s="6">
        <f>IF(Table1[[#This Row],[MoL]]="Yes",55,0)</f>
        <v>0</v>
      </c>
      <c r="W138" s="6">
        <f>IF(Table1[[#This Row],[Long MoL +3 Years]]="Yes",137.5,0)</f>
        <v>0</v>
      </c>
      <c r="X138" s="6">
        <f>IF(Table1[[#This Row],[Gender]]="Female",137.5,0)</f>
        <v>0</v>
      </c>
      <c r="Y138" s="6">
        <f>IF(Table1[[#This Row],[Education]]="Bachelors +",55,0)</f>
        <v>55</v>
      </c>
      <c r="Z138" s="6">
        <f>IF(Table1[[#This Row],[Salary]]&gt;=600,82.5,0)</f>
        <v>82.5</v>
      </c>
    </row>
    <row r="139" spans="1:26">
      <c r="A139" s="3">
        <f>Table1[[#This Row],[SL No.]]</f>
        <v>138</v>
      </c>
      <c r="B139" t="str">
        <f>Table1[[#This Row],[Case manager]]</f>
        <v>Husain</v>
      </c>
      <c r="C139" t="str">
        <f>Table1[[#This Row],[Ref No]]</f>
        <v>JCP/25/248057</v>
      </c>
      <c r="D139" t="str">
        <f>Table1[[#This Row],[Name]]</f>
        <v xml:space="preserve"> ABATHAR ALI AHMED ABDULLA</v>
      </c>
      <c r="E139" s="4">
        <f>'Placements 26'!F139</f>
        <v>46159</v>
      </c>
      <c r="F139" s="4" t="str">
        <f t="shared" ca="1" si="6"/>
        <v>Claimable</v>
      </c>
      <c r="G139" s="4"/>
      <c r="H139" s="4"/>
      <c r="J139">
        <f>IF(Table3[[#This Row],[Placement Fee &amp; Variables]]&gt;0,0,1)</f>
        <v>1</v>
      </c>
      <c r="K139" s="4">
        <f>Table3[[#This Row],[Joining Date]]+180</f>
        <v>46339</v>
      </c>
      <c r="L139" t="str">
        <f t="shared" ca="1" si="7"/>
        <v/>
      </c>
      <c r="N139">
        <f ca="1">IF(Table3[[#This Row],[6M Stat]]="Claimable",1,0)</f>
        <v>0</v>
      </c>
      <c r="O139" s="4">
        <f>Table3[[#This Row],[Joining Date]]+365</f>
        <v>46524</v>
      </c>
      <c r="Q139" t="str">
        <f t="shared" ca="1" si="8"/>
        <v/>
      </c>
      <c r="R139">
        <f ca="1">IF(Table3[[#This Row],[12 M Stat]]="Claimable",1,0)</f>
        <v>0</v>
      </c>
      <c r="S139">
        <f ca="1">Table3[[#This Row],[Placement claim Highlight]]+Table3[[#This Row],[Highlight rule 6M]]+Table3[[#This Row],[Highlight rule 12 M]]</f>
        <v>1</v>
      </c>
      <c r="T139" s="6">
        <f>SUM(Table3[[#This Row],[Placement Fee]:[Salary]])</f>
        <v>0</v>
      </c>
      <c r="U139" s="6"/>
      <c r="V139" s="6">
        <f>IF(Table1[[#This Row],[MoL]]="Yes",55,0)</f>
        <v>0</v>
      </c>
      <c r="W139" s="6">
        <f>IF(Table1[[#This Row],[Long MoL +3 Years]]="Yes",137.5,0)</f>
        <v>0</v>
      </c>
      <c r="X139" s="6">
        <f>IF(Table1[[#This Row],[Gender]]="Female",137.5,0)</f>
        <v>0</v>
      </c>
      <c r="Y139" s="6">
        <f>IF(Table1[[#This Row],[Education]]="Bachelors +",55,0)</f>
        <v>0</v>
      </c>
      <c r="Z139" s="6">
        <f>IF(Table1[[#This Row],[Salary]]&gt;=600,82.5,0)</f>
        <v>0</v>
      </c>
    </row>
    <row r="140" spans="1:26">
      <c r="A140" s="3">
        <f>Table1[[#This Row],[SL No.]]</f>
        <v>139</v>
      </c>
      <c r="B140" t="str">
        <f>Table1[[#This Row],[Case manager]]</f>
        <v>Husain</v>
      </c>
      <c r="C140" t="str">
        <f>Table1[[#This Row],[Ref No]]</f>
        <v>JCP/24/104341</v>
      </c>
      <c r="D140" t="str">
        <f>Table1[[#This Row],[Name]]</f>
        <v xml:space="preserve"> marwa adel ahmed ali</v>
      </c>
      <c r="E140" s="4">
        <f>'Placements 26'!F140</f>
        <v>46159</v>
      </c>
      <c r="F140" s="4" t="str">
        <f t="shared" ca="1" si="6"/>
        <v>Claimable</v>
      </c>
      <c r="G140" s="4"/>
      <c r="H140" s="4"/>
      <c r="J140">
        <f>IF(Table3[[#This Row],[Placement Fee &amp; Variables]]&gt;0,0,1)</f>
        <v>1</v>
      </c>
      <c r="K140" s="4">
        <f>Table3[[#This Row],[Joining Date]]+180</f>
        <v>46339</v>
      </c>
      <c r="L140" t="str">
        <f t="shared" ca="1" si="7"/>
        <v/>
      </c>
      <c r="N140">
        <f ca="1">IF(Table3[[#This Row],[6M Stat]]="Claimable",1,0)</f>
        <v>0</v>
      </c>
      <c r="O140" s="4">
        <f>Table3[[#This Row],[Joining Date]]+365</f>
        <v>46524</v>
      </c>
      <c r="Q140" t="str">
        <f t="shared" ca="1" si="8"/>
        <v/>
      </c>
      <c r="R140">
        <f ca="1">IF(Table3[[#This Row],[12 M Stat]]="Claimable",1,0)</f>
        <v>0</v>
      </c>
      <c r="S140">
        <f ca="1">Table3[[#This Row],[Placement claim Highlight]]+Table3[[#This Row],[Highlight rule 6M]]+Table3[[#This Row],[Highlight rule 12 M]]</f>
        <v>1</v>
      </c>
      <c r="T140" s="6">
        <f>SUM(Table3[[#This Row],[Placement Fee]:[Salary]])</f>
        <v>137.5</v>
      </c>
      <c r="U140" s="6"/>
      <c r="V140" s="6">
        <f>IF(Table1[[#This Row],[MoL]]="Yes",55,0)</f>
        <v>0</v>
      </c>
      <c r="W140" s="6">
        <f>IF(Table1[[#This Row],[Long MoL +3 Years]]="Yes",137.5,0)</f>
        <v>0</v>
      </c>
      <c r="X140" s="6">
        <f>IF(Table1[[#This Row],[Gender]]="Female",137.5,0)</f>
        <v>137.5</v>
      </c>
      <c r="Y140" s="6">
        <f>IF(Table1[[#This Row],[Education]]="Bachelors +",55,0)</f>
        <v>0</v>
      </c>
      <c r="Z140" s="6">
        <f>IF(Table1[[#This Row],[Salary]]&gt;=600,82.5,0)</f>
        <v>0</v>
      </c>
    </row>
    <row r="141" spans="1:26">
      <c r="A141" s="3">
        <f>Table1[[#This Row],[SL No.]]</f>
        <v>140</v>
      </c>
      <c r="B141" t="str">
        <f>Table1[[#This Row],[Case manager]]</f>
        <v>Dina</v>
      </c>
      <c r="C141" t="str">
        <f>Table1[[#This Row],[Ref No]]</f>
        <v>JCP/26/285998</v>
      </c>
      <c r="D141" t="str">
        <f>Table1[[#This Row],[Name]]</f>
        <v>HASAN ABDULZAHRA ASHO DHABAAN</v>
      </c>
      <c r="E141" s="4">
        <f>'Placements 26'!F141</f>
        <v>46068</v>
      </c>
      <c r="F141" s="4" t="str">
        <f t="shared" ca="1" si="6"/>
        <v>Claimable</v>
      </c>
      <c r="G141" s="4"/>
      <c r="H141" s="4"/>
      <c r="I141" s="4">
        <v>46160</v>
      </c>
      <c r="J141">
        <f>IF(Table3[[#This Row],[Placement Fee &amp; Variables]]&gt;0,0,1)</f>
        <v>0</v>
      </c>
      <c r="K141" s="4">
        <f>Table3[[#This Row],[Joining Date]]+180</f>
        <v>46248</v>
      </c>
      <c r="L141" t="str">
        <f t="shared" ca="1" si="7"/>
        <v>Claimable</v>
      </c>
      <c r="N141">
        <f ca="1">IF(Table3[[#This Row],[6M Stat]]="Claimable",1,0)</f>
        <v>1</v>
      </c>
      <c r="O141" s="4">
        <f>Table3[[#This Row],[Joining Date]]+365</f>
        <v>46433</v>
      </c>
      <c r="Q141" t="str">
        <f t="shared" ca="1" si="8"/>
        <v/>
      </c>
      <c r="R141">
        <f ca="1">IF(Table3[[#This Row],[12 M Stat]]="Claimable",1,0)</f>
        <v>0</v>
      </c>
      <c r="S141">
        <f ca="1">Table3[[#This Row],[Placement claim Highlight]]+Table3[[#This Row],[Highlight rule 6M]]+Table3[[#This Row],[Highlight rule 12 M]]</f>
        <v>1</v>
      </c>
      <c r="T141" s="6">
        <f>SUM(Table3[[#This Row],[Placement Fee]:[Salary]])</f>
        <v>0</v>
      </c>
      <c r="U141" s="6"/>
      <c r="V141" s="6">
        <f>IF(Table1[[#This Row],[MoL]]="Yes",55,0)</f>
        <v>0</v>
      </c>
      <c r="W141" s="6">
        <f>IF(Table1[[#This Row],[Long MoL +3 Years]]="Yes",137.5,0)</f>
        <v>0</v>
      </c>
      <c r="X141" s="6">
        <f>IF(Table1[[#This Row],[Gender]]="Female",137.5,0)</f>
        <v>0</v>
      </c>
      <c r="Y141" s="6">
        <f>IF(Table1[[#This Row],[Education]]="Bachelors +",55,0)</f>
        <v>0</v>
      </c>
      <c r="Z141" s="6">
        <f>IF(Table1[[#This Row],[Salary]]&gt;=600,82.5,0)</f>
        <v>0</v>
      </c>
    </row>
    <row r="142" spans="1:26">
      <c r="A142" s="3">
        <f>Table1[[#This Row],[SL No.]]</f>
        <v>141</v>
      </c>
      <c r="B142" t="str">
        <f>Table1[[#This Row],[Case manager]]</f>
        <v>Dina</v>
      </c>
      <c r="C142" t="str">
        <f>Table1[[#This Row],[Ref No]]</f>
        <v>JCP/25/263373</v>
      </c>
      <c r="D142" t="str">
        <f>Table1[[#This Row],[Name]]</f>
        <v>hasan husain ebrahim</v>
      </c>
      <c r="E142" s="4">
        <f>'Placements 26'!F142</f>
        <v>46075</v>
      </c>
      <c r="F142" s="4" t="str">
        <f t="shared" ca="1" si="6"/>
        <v>Claimable</v>
      </c>
      <c r="G142" s="4"/>
      <c r="H142" s="4"/>
      <c r="I142" s="4">
        <v>46160</v>
      </c>
      <c r="J142">
        <f>IF(Table3[[#This Row],[Placement Fee &amp; Variables]]&gt;0,0,1)</f>
        <v>0</v>
      </c>
      <c r="K142" s="4">
        <f>Table3[[#This Row],[Joining Date]]+180</f>
        <v>46255</v>
      </c>
      <c r="L142" t="str">
        <f t="shared" ca="1" si="7"/>
        <v>Claimable</v>
      </c>
      <c r="N142">
        <f ca="1">IF(Table3[[#This Row],[6M Stat]]="Claimable",1,0)</f>
        <v>1</v>
      </c>
      <c r="O142" s="4">
        <f>Table3[[#This Row],[Joining Date]]+365</f>
        <v>46440</v>
      </c>
      <c r="Q142" t="str">
        <f t="shared" ca="1" si="8"/>
        <v/>
      </c>
      <c r="R142">
        <f ca="1">IF(Table3[[#This Row],[12 M Stat]]="Claimable",1,0)</f>
        <v>0</v>
      </c>
      <c r="S142">
        <f ca="1">Table3[[#This Row],[Placement claim Highlight]]+Table3[[#This Row],[Highlight rule 6M]]+Table3[[#This Row],[Highlight rule 12 M]]</f>
        <v>1</v>
      </c>
      <c r="T142" s="6">
        <f>SUM(Table3[[#This Row],[Placement Fee]:[Salary]])</f>
        <v>192.5</v>
      </c>
      <c r="U142" s="6"/>
      <c r="V142" s="6">
        <f>IF(Table1[[#This Row],[MoL]]="Yes",55,0)</f>
        <v>55</v>
      </c>
      <c r="W142" s="6">
        <f>IF(Table1[[#This Row],[Long MoL +3 Years]]="Yes",137.5,0)</f>
        <v>137.5</v>
      </c>
      <c r="X142" s="6">
        <f>IF(Table1[[#This Row],[Gender]]="Female",137.5,0)</f>
        <v>0</v>
      </c>
      <c r="Y142" s="6">
        <f>IF(Table1[[#This Row],[Education]]="Bachelors +",55,0)</f>
        <v>0</v>
      </c>
      <c r="Z142" s="6">
        <f>IF(Table1[[#This Row],[Salary]]&gt;=600,82.5,0)</f>
        <v>0</v>
      </c>
    </row>
    <row r="143" spans="1:26">
      <c r="A143" s="3">
        <f>Table1[[#This Row],[SL No.]]</f>
        <v>142</v>
      </c>
      <c r="B143" t="str">
        <f>Table1[[#This Row],[Case manager]]</f>
        <v>Dina</v>
      </c>
      <c r="C143" t="str">
        <f>Table1[[#This Row],[Ref No]]</f>
        <v>JCP/25/223037</v>
      </c>
      <c r="D143" t="str">
        <f>Table1[[#This Row],[Name]]</f>
        <v>JAAFAR KADHEM HUSAIN HABIB KADHEM ALJABOORI</v>
      </c>
      <c r="E143" s="4">
        <f>'Placements 26'!F143</f>
        <v>46061</v>
      </c>
      <c r="F143" s="4" t="str">
        <f t="shared" ref="F143:F206" ca="1" si="9">IF(S143&gt;=1,"Claimable","Claimed")</f>
        <v>Claimable</v>
      </c>
      <c r="G143" s="4"/>
      <c r="H143" s="4"/>
      <c r="I143" s="4">
        <v>46160</v>
      </c>
      <c r="J143">
        <f>IF(Table3[[#This Row],[Placement Fee &amp; Variables]]&gt;0,0,1)</f>
        <v>0</v>
      </c>
      <c r="K143" s="4">
        <f>Table3[[#This Row],[Joining Date]]+180</f>
        <v>46241</v>
      </c>
      <c r="L143" t="str">
        <f t="shared" ref="L143:L206" ca="1" si="10">IF(AND(M143="", K143&lt;=TODAY()), "Claimable", "")</f>
        <v>Claimable</v>
      </c>
      <c r="N143">
        <f ca="1">IF(Table3[[#This Row],[6M Stat]]="Claimable",1,0)</f>
        <v>1</v>
      </c>
      <c r="O143" s="4">
        <f>Table3[[#This Row],[Joining Date]]+365</f>
        <v>46426</v>
      </c>
      <c r="Q143" t="str">
        <f t="shared" ca="1" si="8"/>
        <v/>
      </c>
      <c r="R143">
        <f ca="1">IF(Table3[[#This Row],[12 M Stat]]="Claimable",1,0)</f>
        <v>0</v>
      </c>
      <c r="S143">
        <f ca="1">Table3[[#This Row],[Placement claim Highlight]]+Table3[[#This Row],[Highlight rule 6M]]+Table3[[#This Row],[Highlight rule 12 M]]</f>
        <v>1</v>
      </c>
      <c r="T143" s="6">
        <f>SUM(Table3[[#This Row],[Placement Fee]:[Salary]])</f>
        <v>192.5</v>
      </c>
      <c r="U143" s="6"/>
      <c r="V143" s="6">
        <f>IF(Table1[[#This Row],[MoL]]="Yes",55,0)</f>
        <v>55</v>
      </c>
      <c r="W143" s="6">
        <f>IF(Table1[[#This Row],[Long MoL +3 Years]]="Yes",137.5,0)</f>
        <v>137.5</v>
      </c>
      <c r="X143" s="6">
        <f>IF(Table1[[#This Row],[Gender]]="Female",137.5,0)</f>
        <v>0</v>
      </c>
      <c r="Y143" s="6">
        <f>IF(Table1[[#This Row],[Education]]="Bachelors +",55,0)</f>
        <v>0</v>
      </c>
      <c r="Z143" s="6">
        <f>IF(Table1[[#This Row],[Salary]]&gt;=600,82.5,0)</f>
        <v>0</v>
      </c>
    </row>
    <row r="144" spans="1:26">
      <c r="A144" s="3">
        <f>Table1[[#This Row],[SL No.]]</f>
        <v>143</v>
      </c>
      <c r="B144" t="str">
        <f>Table1[[#This Row],[Case manager]]</f>
        <v>Dina</v>
      </c>
      <c r="C144" t="str">
        <f>Table1[[#This Row],[Ref No]]</f>
        <v>JCP/24/145581</v>
      </c>
      <c r="D144" t="str">
        <f>Table1[[#This Row],[Name]]</f>
        <v>JASIM MOHAMED SALEH SALEH</v>
      </c>
      <c r="E144" s="4">
        <f>'Placements 26'!F144</f>
        <v>46054</v>
      </c>
      <c r="F144" s="4" t="str">
        <f t="shared" ca="1" si="9"/>
        <v>Claimable</v>
      </c>
      <c r="G144" s="4"/>
      <c r="H144" s="4"/>
      <c r="I144" s="4">
        <v>46160</v>
      </c>
      <c r="J144">
        <f>IF(Table3[[#This Row],[Placement Fee &amp; Variables]]&gt;0,0,1)</f>
        <v>0</v>
      </c>
      <c r="K144" s="4">
        <f>Table3[[#This Row],[Joining Date]]+180</f>
        <v>46234</v>
      </c>
      <c r="L144" t="str">
        <f t="shared" ca="1" si="10"/>
        <v>Claimable</v>
      </c>
      <c r="N144">
        <f ca="1">IF(Table3[[#This Row],[6M Stat]]="Claimable",1,0)</f>
        <v>1</v>
      </c>
      <c r="O144" s="4">
        <f>Table3[[#This Row],[Joining Date]]+365</f>
        <v>46419</v>
      </c>
      <c r="Q144" t="str">
        <f t="shared" ca="1" si="8"/>
        <v/>
      </c>
      <c r="R144">
        <f ca="1">IF(Table3[[#This Row],[12 M Stat]]="Claimable",1,0)</f>
        <v>0</v>
      </c>
      <c r="S144">
        <f ca="1">Table3[[#This Row],[Placement claim Highlight]]+Table3[[#This Row],[Highlight rule 6M]]+Table3[[#This Row],[Highlight rule 12 M]]</f>
        <v>1</v>
      </c>
      <c r="T144" s="6">
        <f>SUM(Table3[[#This Row],[Placement Fee]:[Salary]])</f>
        <v>192.5</v>
      </c>
      <c r="U144" s="6"/>
      <c r="V144" s="6">
        <f>IF(Table1[[#This Row],[MoL]]="Yes",55,0)</f>
        <v>55</v>
      </c>
      <c r="W144" s="6">
        <f>IF(Table1[[#This Row],[Long MoL +3 Years]]="Yes",137.5,0)</f>
        <v>137.5</v>
      </c>
      <c r="X144" s="6">
        <f>IF(Table1[[#This Row],[Gender]]="Female",137.5,0)</f>
        <v>0</v>
      </c>
      <c r="Y144" s="6">
        <f>IF(Table1[[#This Row],[Education]]="Bachelors +",55,0)</f>
        <v>0</v>
      </c>
      <c r="Z144" s="6">
        <f>IF(Table1[[#This Row],[Salary]]&gt;=600,82.5,0)</f>
        <v>0</v>
      </c>
    </row>
    <row r="145" spans="1:26">
      <c r="A145" s="3">
        <f>Table1[[#This Row],[SL No.]]</f>
        <v>144</v>
      </c>
      <c r="B145" t="str">
        <f>Table1[[#This Row],[Case manager]]</f>
        <v>Dina</v>
      </c>
      <c r="C145" t="str">
        <f>Table1[[#This Row],[Ref No]]</f>
        <v>JCP/26/288842</v>
      </c>
      <c r="D145" t="str">
        <f>Table1[[#This Row],[Name]]</f>
        <v>Ali husain abdali abdulla Ahmed hasan</v>
      </c>
      <c r="E145" s="4">
        <f>'Placements 26'!F145</f>
        <v>46110</v>
      </c>
      <c r="F145" s="4" t="str">
        <f t="shared" ca="1" si="9"/>
        <v>Claimable</v>
      </c>
      <c r="G145" s="4"/>
      <c r="H145" s="4"/>
      <c r="I145" s="4">
        <v>46161</v>
      </c>
      <c r="J145">
        <f>IF(Table3[[#This Row],[Placement Fee &amp; Variables]]&gt;0,0,1)</f>
        <v>0</v>
      </c>
      <c r="K145" s="4">
        <f>Table3[[#This Row],[Joining Date]]+180</f>
        <v>46290</v>
      </c>
      <c r="L145" t="str">
        <f t="shared" ca="1" si="10"/>
        <v>Claimable</v>
      </c>
      <c r="N145">
        <f ca="1">IF(Table3[[#This Row],[6M Stat]]="Claimable",1,0)</f>
        <v>1</v>
      </c>
      <c r="O145" s="4">
        <f>Table3[[#This Row],[Joining Date]]+365</f>
        <v>46475</v>
      </c>
      <c r="Q145" t="str">
        <f t="shared" ca="1" si="8"/>
        <v/>
      </c>
      <c r="R145">
        <f ca="1">IF(Table3[[#This Row],[12 M Stat]]="Claimable",1,0)</f>
        <v>0</v>
      </c>
      <c r="S145">
        <f ca="1">Table3[[#This Row],[Placement claim Highlight]]+Table3[[#This Row],[Highlight rule 6M]]+Table3[[#This Row],[Highlight rule 12 M]]</f>
        <v>1</v>
      </c>
      <c r="T145" s="6">
        <f>SUM(Table3[[#This Row],[Placement Fee]:[Salary]])</f>
        <v>0</v>
      </c>
      <c r="U145" s="6"/>
      <c r="V145" s="6">
        <f>IF(Table1[[#This Row],[MoL]]="Yes",55,0)</f>
        <v>0</v>
      </c>
      <c r="W145" s="6">
        <f>IF(Table1[[#This Row],[Long MoL +3 Years]]="Yes",137.5,0)</f>
        <v>0</v>
      </c>
      <c r="X145" s="6">
        <f>IF(Table1[[#This Row],[Gender]]="Female",137.5,0)</f>
        <v>0</v>
      </c>
      <c r="Y145" s="6">
        <f>IF(Table1[[#This Row],[Education]]="Bachelors +",55,0)</f>
        <v>0</v>
      </c>
      <c r="Z145" s="6">
        <f>IF(Table1[[#This Row],[Salary]]&gt;=600,82.5,0)</f>
        <v>0</v>
      </c>
    </row>
    <row r="146" spans="1:26">
      <c r="A146" s="3">
        <f>Table1[[#This Row],[SL No.]]</f>
        <v>145</v>
      </c>
      <c r="B146" t="str">
        <f>Table1[[#This Row],[Case manager]]</f>
        <v>Dina</v>
      </c>
      <c r="C146" t="str">
        <f>Table1[[#This Row],[Ref No]]</f>
        <v>JCP/26/289171</v>
      </c>
      <c r="D146" t="str">
        <f>Table1[[#This Row],[Name]]</f>
        <v>AMMAR HUSAIN ALI ALSHOUFAH</v>
      </c>
      <c r="E146" s="4">
        <f>'Placements 26'!F146</f>
        <v>46110</v>
      </c>
      <c r="F146" s="4" t="str">
        <f t="shared" ca="1" si="9"/>
        <v>Claimable</v>
      </c>
      <c r="G146" s="4"/>
      <c r="H146" s="4"/>
      <c r="I146" s="4">
        <v>46161</v>
      </c>
      <c r="J146">
        <f>IF(Table3[[#This Row],[Placement Fee &amp; Variables]]&gt;0,0,1)</f>
        <v>0</v>
      </c>
      <c r="K146" s="4">
        <f>Table3[[#This Row],[Joining Date]]+180</f>
        <v>46290</v>
      </c>
      <c r="L146" t="str">
        <f t="shared" ca="1" si="10"/>
        <v>Claimable</v>
      </c>
      <c r="N146">
        <f ca="1">IF(Table3[[#This Row],[6M Stat]]="Claimable",1,0)</f>
        <v>1</v>
      </c>
      <c r="O146" s="4">
        <f>Table3[[#This Row],[Joining Date]]+365</f>
        <v>46475</v>
      </c>
      <c r="Q146" t="str">
        <f t="shared" ca="1" si="8"/>
        <v/>
      </c>
      <c r="R146">
        <f ca="1">IF(Table3[[#This Row],[12 M Stat]]="Claimable",1,0)</f>
        <v>0</v>
      </c>
      <c r="S146">
        <f ca="1">Table3[[#This Row],[Placement claim Highlight]]+Table3[[#This Row],[Highlight rule 6M]]+Table3[[#This Row],[Highlight rule 12 M]]</f>
        <v>1</v>
      </c>
      <c r="T146" s="6">
        <f>SUM(Table3[[#This Row],[Placement Fee]:[Salary]])</f>
        <v>0</v>
      </c>
      <c r="U146" s="6"/>
      <c r="V146" s="6">
        <f>IF(Table1[[#This Row],[MoL]]="Yes",55,0)</f>
        <v>0</v>
      </c>
      <c r="W146" s="6">
        <f>IF(Table1[[#This Row],[Long MoL +3 Years]]="Yes",137.5,0)</f>
        <v>0</v>
      </c>
      <c r="X146" s="6">
        <f>IF(Table1[[#This Row],[Gender]]="Female",137.5,0)</f>
        <v>0</v>
      </c>
      <c r="Y146" s="6">
        <f>IF(Table1[[#This Row],[Education]]="Bachelors +",55,0)</f>
        <v>0</v>
      </c>
      <c r="Z146" s="6">
        <f>IF(Table1[[#This Row],[Salary]]&gt;=600,82.5,0)</f>
        <v>0</v>
      </c>
    </row>
    <row r="147" spans="1:26">
      <c r="A147" s="3">
        <f>Table1[[#This Row],[SL No.]]</f>
        <v>146</v>
      </c>
      <c r="B147" t="str">
        <f>Table1[[#This Row],[Case manager]]</f>
        <v>Dina</v>
      </c>
      <c r="C147" t="str">
        <f>Table1[[#This Row],[Ref No]]</f>
        <v>JCP/26/287073</v>
      </c>
      <c r="D147" t="str">
        <f>Table1[[#This Row],[Name]]</f>
        <v>Noor Fahad Ali</v>
      </c>
      <c r="E147" s="4">
        <f>'Placements 26'!F147</f>
        <v>46110</v>
      </c>
      <c r="F147" s="4" t="str">
        <f t="shared" ca="1" si="9"/>
        <v>Claimable</v>
      </c>
      <c r="G147" s="4"/>
      <c r="H147" s="4"/>
      <c r="I147" s="4">
        <v>46161</v>
      </c>
      <c r="J147">
        <f>IF(Table3[[#This Row],[Placement Fee &amp; Variables]]&gt;0,0,1)</f>
        <v>0</v>
      </c>
      <c r="K147" s="4">
        <f>Table3[[#This Row],[Joining Date]]+180</f>
        <v>46290</v>
      </c>
      <c r="L147" t="str">
        <f t="shared" ca="1" si="10"/>
        <v>Claimable</v>
      </c>
      <c r="N147">
        <f ca="1">IF(Table3[[#This Row],[6M Stat]]="Claimable",1,0)</f>
        <v>1</v>
      </c>
      <c r="O147" s="4">
        <f>Table3[[#This Row],[Joining Date]]+365</f>
        <v>46475</v>
      </c>
      <c r="Q147" t="str">
        <f t="shared" ca="1" si="8"/>
        <v/>
      </c>
      <c r="R147">
        <f ca="1">IF(Table3[[#This Row],[12 M Stat]]="Claimable",1,0)</f>
        <v>0</v>
      </c>
      <c r="S147">
        <f ca="1">Table3[[#This Row],[Placement claim Highlight]]+Table3[[#This Row],[Highlight rule 6M]]+Table3[[#This Row],[Highlight rule 12 M]]</f>
        <v>1</v>
      </c>
      <c r="T147" s="6">
        <f>SUM(Table3[[#This Row],[Placement Fee]:[Salary]])</f>
        <v>137.5</v>
      </c>
      <c r="U147" s="6"/>
      <c r="V147" s="6">
        <f>IF(Table1[[#This Row],[MoL]]="Yes",55,0)</f>
        <v>0</v>
      </c>
      <c r="W147" s="6">
        <f>IF(Table1[[#This Row],[Long MoL +3 Years]]="Yes",137.5,0)</f>
        <v>0</v>
      </c>
      <c r="X147" s="6">
        <f>IF(Table1[[#This Row],[Gender]]="Female",137.5,0)</f>
        <v>137.5</v>
      </c>
      <c r="Y147" s="6">
        <f>IF(Table1[[#This Row],[Education]]="Bachelors +",55,0)</f>
        <v>0</v>
      </c>
      <c r="Z147" s="6">
        <f>IF(Table1[[#This Row],[Salary]]&gt;=600,82.5,0)</f>
        <v>0</v>
      </c>
    </row>
    <row r="148" spans="1:26">
      <c r="A148" s="3">
        <f>Table1[[#This Row],[SL No.]]</f>
        <v>147</v>
      </c>
      <c r="B148" t="str">
        <f>Table1[[#This Row],[Case manager]]</f>
        <v>Dina</v>
      </c>
      <c r="C148" t="str">
        <f>Table1[[#This Row],[Ref No]]</f>
        <v>JCP/25/220822</v>
      </c>
      <c r="D148" t="str">
        <f>Table1[[#This Row],[Name]]</f>
        <v>AMIR MOHAMMAD ISHAQ RASO ESSA</v>
      </c>
      <c r="E148" s="4">
        <f>'Placements 26'!F148</f>
        <v>46377</v>
      </c>
      <c r="F148" s="4" t="str">
        <f t="shared" ca="1" si="9"/>
        <v>Claimed</v>
      </c>
      <c r="G148" s="4"/>
      <c r="H148" s="4"/>
      <c r="I148" s="4">
        <v>46161</v>
      </c>
      <c r="J148">
        <f>IF(Table3[[#This Row],[Placement Fee &amp; Variables]]&gt;0,0,1)</f>
        <v>0</v>
      </c>
      <c r="K148" s="4">
        <f>Table3[[#This Row],[Joining Date]]+180</f>
        <v>46557</v>
      </c>
      <c r="L148" t="str">
        <f t="shared" ca="1" si="10"/>
        <v/>
      </c>
      <c r="N148">
        <f ca="1">IF(Table3[[#This Row],[6M Stat]]="Claimable",1,0)</f>
        <v>0</v>
      </c>
      <c r="O148" s="4">
        <f>Table3[[#This Row],[Joining Date]]+365</f>
        <v>46742</v>
      </c>
      <c r="Q148" t="str">
        <f t="shared" ca="1" si="8"/>
        <v/>
      </c>
      <c r="R148">
        <f ca="1">IF(Table3[[#This Row],[12 M Stat]]="Claimable",1,0)</f>
        <v>0</v>
      </c>
      <c r="S148">
        <f ca="1">Table3[[#This Row],[Placement claim Highlight]]+Table3[[#This Row],[Highlight rule 6M]]+Table3[[#This Row],[Highlight rule 12 M]]</f>
        <v>0</v>
      </c>
      <c r="T148" s="6">
        <f>SUM(Table3[[#This Row],[Placement Fee]:[Salary]])</f>
        <v>110</v>
      </c>
      <c r="U148" s="6"/>
      <c r="V148" s="6">
        <f>IF(Table1[[#This Row],[MoL]]="Yes",55,0)</f>
        <v>55</v>
      </c>
      <c r="W148" s="6">
        <f>IF(Table1[[#This Row],[Long MoL +3 Years]]="Yes",137.5,0)</f>
        <v>0</v>
      </c>
      <c r="X148" s="6">
        <f>IF(Table1[[#This Row],[Gender]]="Female",137.5,0)</f>
        <v>0</v>
      </c>
      <c r="Y148" s="6">
        <f>IF(Table1[[#This Row],[Education]]="Bachelors +",55,0)</f>
        <v>55</v>
      </c>
      <c r="Z148" s="6">
        <f>IF(Table1[[#This Row],[Salary]]&gt;=600,82.5,0)</f>
        <v>0</v>
      </c>
    </row>
    <row r="149" spans="1:26">
      <c r="A149" s="3">
        <f>Table1[[#This Row],[SL No.]]</f>
        <v>148</v>
      </c>
      <c r="B149" t="str">
        <f>Table1[[#This Row],[Case manager]]</f>
        <v>Zainab Mattar</v>
      </c>
      <c r="C149" t="str">
        <f>Table1[[#This Row],[Ref No]]</f>
        <v>JCP/26/296618</v>
      </c>
      <c r="D149" t="str">
        <f>Table1[[#This Row],[Name]]</f>
        <v>ABEER MOHAMED SALEH ROZBAH</v>
      </c>
      <c r="E149" s="4">
        <f>'Placements 26'!F149</f>
        <v>46158</v>
      </c>
      <c r="F149" s="4" t="str">
        <f t="shared" ca="1" si="9"/>
        <v>Claimable</v>
      </c>
      <c r="G149" s="4"/>
      <c r="H149" s="4"/>
      <c r="J149">
        <f>IF(Table3[[#This Row],[Placement Fee &amp; Variables]]&gt;0,0,1)</f>
        <v>1</v>
      </c>
      <c r="K149" s="4">
        <f>Table3[[#This Row],[Joining Date]]+180</f>
        <v>46338</v>
      </c>
      <c r="L149" t="str">
        <f t="shared" ca="1" si="10"/>
        <v/>
      </c>
      <c r="N149">
        <f ca="1">IF(Table3[[#This Row],[6M Stat]]="Claimable",1,0)</f>
        <v>0</v>
      </c>
      <c r="O149" s="4">
        <f>Table3[[#This Row],[Joining Date]]+365</f>
        <v>46523</v>
      </c>
      <c r="Q149" t="str">
        <f t="shared" ca="1" si="8"/>
        <v/>
      </c>
      <c r="R149">
        <f ca="1">IF(Table3[[#This Row],[12 M Stat]]="Claimable",1,0)</f>
        <v>0</v>
      </c>
      <c r="S149">
        <f ca="1">Table3[[#This Row],[Placement claim Highlight]]+Table3[[#This Row],[Highlight rule 6M]]+Table3[[#This Row],[Highlight rule 12 M]]</f>
        <v>1</v>
      </c>
      <c r="T149" s="6">
        <f>SUM(Table3[[#This Row],[Placement Fee]:[Salary]])</f>
        <v>192.5</v>
      </c>
      <c r="U149" s="6"/>
      <c r="V149" s="6">
        <f>IF(Table1[[#This Row],[MoL]]="Yes",55,0)</f>
        <v>0</v>
      </c>
      <c r="W149" s="6">
        <f>IF(Table1[[#This Row],[Long MoL +3 Years]]="Yes",137.5,0)</f>
        <v>0</v>
      </c>
      <c r="X149" s="6">
        <f>IF(Table1[[#This Row],[Gender]]="Female",137.5,0)</f>
        <v>137.5</v>
      </c>
      <c r="Y149" s="6">
        <f>IF(Table1[[#This Row],[Education]]="Bachelors +",55,0)</f>
        <v>55</v>
      </c>
      <c r="Z149" s="6">
        <f>IF(Table1[[#This Row],[Salary]]&gt;=600,82.5,0)</f>
        <v>0</v>
      </c>
    </row>
    <row r="150" spans="1:26">
      <c r="A150" s="3">
        <f>Table1[[#This Row],[SL No.]]</f>
        <v>149</v>
      </c>
      <c r="B150" t="str">
        <f>Table1[[#This Row],[Case manager]]</f>
        <v>Khalifa</v>
      </c>
      <c r="C150" t="str">
        <f>Table1[[#This Row],[Ref No]]</f>
        <v>JCP/24/143114</v>
      </c>
      <c r="D150" t="str">
        <f>Table1[[#This Row],[Name]]</f>
        <v>AROOJ KHALID JAVID ALLAH DITA GULAM MOHAMMAD</v>
      </c>
      <c r="E150" s="4">
        <f>'Placements 26'!F150</f>
        <v>46160</v>
      </c>
      <c r="F150" s="4" t="str">
        <f t="shared" ca="1" si="9"/>
        <v>Claimed</v>
      </c>
      <c r="G150" s="4"/>
      <c r="H150" s="4"/>
      <c r="I150" s="4">
        <v>46166</v>
      </c>
      <c r="J150">
        <f>IF(Table3[[#This Row],[Placement Fee &amp; Variables]]&gt;0,0,1)</f>
        <v>0</v>
      </c>
      <c r="K150" s="4">
        <f>Table3[[#This Row],[Joining Date]]+180</f>
        <v>46340</v>
      </c>
      <c r="L150" t="str">
        <f t="shared" ca="1" si="10"/>
        <v/>
      </c>
      <c r="N150">
        <f ca="1">IF(Table3[[#This Row],[6M Stat]]="Claimable",1,0)</f>
        <v>0</v>
      </c>
      <c r="O150" s="4">
        <f>Table3[[#This Row],[Joining Date]]+365</f>
        <v>46525</v>
      </c>
      <c r="Q150" t="str">
        <f t="shared" ca="1" si="8"/>
        <v/>
      </c>
      <c r="R150">
        <f ca="1">IF(Table3[[#This Row],[12 M Stat]]="Claimable",1,0)</f>
        <v>0</v>
      </c>
      <c r="S150">
        <f ca="1">Table3[[#This Row],[Placement claim Highlight]]+Table3[[#This Row],[Highlight rule 6M]]+Table3[[#This Row],[Highlight rule 12 M]]</f>
        <v>0</v>
      </c>
      <c r="T150" s="6">
        <f>SUM(Table3[[#This Row],[Placement Fee]:[Salary]])</f>
        <v>192.5</v>
      </c>
      <c r="U150" s="6"/>
      <c r="V150" s="6">
        <f>IF(Table1[[#This Row],[MoL]]="Yes",55,0)</f>
        <v>55</v>
      </c>
      <c r="W150" s="6">
        <f>IF(Table1[[#This Row],[Long MoL +3 Years]]="Yes",137.5,0)</f>
        <v>0</v>
      </c>
      <c r="X150" s="6">
        <f>IF(Table1[[#This Row],[Gender]]="Female",137.5,0)</f>
        <v>137.5</v>
      </c>
      <c r="Y150" s="6">
        <f>IF(Table1[[#This Row],[Education]]="Bachelors +",55,0)</f>
        <v>0</v>
      </c>
      <c r="Z150" s="6">
        <f>IF(Table1[[#This Row],[Salary]]&gt;=600,82.5,0)</f>
        <v>0</v>
      </c>
    </row>
    <row r="151" spans="1:26">
      <c r="A151" s="3">
        <f>Table1[[#This Row],[SL No.]]</f>
        <v>150</v>
      </c>
      <c r="B151" t="str">
        <f>Table1[[#This Row],[Case manager]]</f>
        <v>Dina</v>
      </c>
      <c r="C151" t="str">
        <f>Table1[[#This Row],[Ref No]]</f>
        <v xml:space="preserve">JCP/26/300302
</v>
      </c>
      <c r="D151" t="str">
        <f>Table1[[#This Row],[Name]]</f>
        <v>ZAINAB ALI MUSLEM ALDERAZI</v>
      </c>
      <c r="E151" s="4">
        <f>'Placements 26'!F151</f>
        <v>46167</v>
      </c>
      <c r="F151" s="4" t="str">
        <f t="shared" ca="1" si="9"/>
        <v>Claimed</v>
      </c>
      <c r="G151" s="4"/>
      <c r="H151" s="4"/>
      <c r="I151" s="4">
        <v>46174</v>
      </c>
      <c r="J151">
        <f>IF(Table3[[#This Row],[Placement Fee &amp; Variables]]&gt;0,0,1)</f>
        <v>0</v>
      </c>
      <c r="K151" s="4">
        <f>Table3[[#This Row],[Joining Date]]+180</f>
        <v>46347</v>
      </c>
      <c r="L151" t="str">
        <f t="shared" ca="1" si="10"/>
        <v/>
      </c>
      <c r="N151">
        <f ca="1">IF(Table3[[#This Row],[6M Stat]]="Claimable",1,0)</f>
        <v>0</v>
      </c>
      <c r="O151" s="4">
        <f>Table3[[#This Row],[Joining Date]]+365</f>
        <v>46532</v>
      </c>
      <c r="Q151" t="str">
        <f t="shared" ca="1" si="8"/>
        <v/>
      </c>
      <c r="R151">
        <f ca="1">IF(Table3[[#This Row],[12 M Stat]]="Claimable",1,0)</f>
        <v>0</v>
      </c>
      <c r="S151">
        <f ca="1">Table3[[#This Row],[Placement claim Highlight]]+Table3[[#This Row],[Highlight rule 6M]]+Table3[[#This Row],[Highlight rule 12 M]]</f>
        <v>0</v>
      </c>
      <c r="T151" s="6">
        <f>SUM(Table3[[#This Row],[Placement Fee]:[Salary]])</f>
        <v>275</v>
      </c>
      <c r="U151" s="6"/>
      <c r="V151" s="6">
        <f>IF(Table1[[#This Row],[MoL]]="Yes",55,0)</f>
        <v>55</v>
      </c>
      <c r="W151" s="6">
        <f>IF(Table1[[#This Row],[Long MoL +3 Years]]="Yes",137.5,0)</f>
        <v>0</v>
      </c>
      <c r="X151" s="6">
        <f>IF(Table1[[#This Row],[Gender]]="Female",137.5,0)</f>
        <v>137.5</v>
      </c>
      <c r="Y151" s="6">
        <f>IF(Table1[[#This Row],[Education]]="Bachelors +",55,0)</f>
        <v>0</v>
      </c>
      <c r="Z151" s="6">
        <f>IF(Table1[[#This Row],[Salary]]&gt;=600,82.5,0)</f>
        <v>82.5</v>
      </c>
    </row>
    <row r="152" spans="1:26">
      <c r="A152" s="3">
        <f>Table1[[#This Row],[SL No.]]</f>
        <v>151</v>
      </c>
      <c r="B152" t="str">
        <f>Table1[[#This Row],[Case manager]]</f>
        <v>Khalifa</v>
      </c>
      <c r="C152" t="str">
        <f>Table1[[#This Row],[Ref No]]</f>
        <v>JCP/24/142006</v>
      </c>
      <c r="D152" t="str">
        <f>Table1[[#This Row],[Name]]</f>
        <v>Maryam Fareed Abdulmajeed</v>
      </c>
      <c r="E152" s="4">
        <f>'Placements 26'!F152</f>
        <v>46166</v>
      </c>
      <c r="F152" s="4" t="str">
        <f t="shared" ca="1" si="9"/>
        <v>Claimed</v>
      </c>
      <c r="G152" s="4"/>
      <c r="H152" s="4"/>
      <c r="I152" s="4">
        <v>46177</v>
      </c>
      <c r="J152">
        <f>IF(Table3[[#This Row],[Placement Fee &amp; Variables]]&gt;0,0,1)</f>
        <v>0</v>
      </c>
      <c r="K152" s="4">
        <f>Table3[[#This Row],[Joining Date]]+180</f>
        <v>46346</v>
      </c>
      <c r="L152" t="str">
        <f t="shared" ca="1" si="10"/>
        <v/>
      </c>
      <c r="N152">
        <f ca="1">IF(Table3[[#This Row],[6M Stat]]="Claimable",1,0)</f>
        <v>0</v>
      </c>
      <c r="O152" s="4">
        <f>Table3[[#This Row],[Joining Date]]+365</f>
        <v>46531</v>
      </c>
      <c r="Q152" t="str">
        <f t="shared" ca="1" si="8"/>
        <v/>
      </c>
      <c r="R152">
        <f ca="1">IF(Table3[[#This Row],[12 M Stat]]="Claimable",1,0)</f>
        <v>0</v>
      </c>
      <c r="S152">
        <f ca="1">Table3[[#This Row],[Placement claim Highlight]]+Table3[[#This Row],[Highlight rule 6M]]+Table3[[#This Row],[Highlight rule 12 M]]</f>
        <v>0</v>
      </c>
      <c r="T152" s="6">
        <f>SUM(Table3[[#This Row],[Placement Fee]:[Salary]])</f>
        <v>330</v>
      </c>
      <c r="U152" s="6"/>
      <c r="V152" s="6">
        <f>IF(Table1[[#This Row],[MoL]]="Yes",55,0)</f>
        <v>55</v>
      </c>
      <c r="W152" s="6">
        <f>IF(Table1[[#This Row],[Long MoL +3 Years]]="Yes",137.5,0)</f>
        <v>137.5</v>
      </c>
      <c r="X152" s="6">
        <f>IF(Table1[[#This Row],[Gender]]="Female",137.5,0)</f>
        <v>137.5</v>
      </c>
      <c r="Y152" s="6">
        <f>IF(Table1[[#This Row],[Education]]="Bachelors +",55,0)</f>
        <v>0</v>
      </c>
      <c r="Z152" s="6">
        <f>IF(Table1[[#This Row],[Salary]]&gt;=600,82.5,0)</f>
        <v>0</v>
      </c>
    </row>
    <row r="153" spans="1:26">
      <c r="A153" s="3">
        <f>Table1[[#This Row],[SL No.]]</f>
        <v>152</v>
      </c>
      <c r="B153">
        <f>Table1[[#This Row],[Case manager]]</f>
        <v>0</v>
      </c>
      <c r="C153" t="str">
        <f>Table1[[#This Row],[Ref No]]</f>
        <v>JCP/26/293003</v>
      </c>
      <c r="D153" t="str">
        <f>Table1[[#This Row],[Name]]</f>
        <v>HUSAIN KHALIL E. ALSALMAN</v>
      </c>
      <c r="E153" s="4">
        <f>'Placements 26'!F153</f>
        <v>46140</v>
      </c>
      <c r="F153" s="4" t="str">
        <f t="shared" ca="1" si="9"/>
        <v>Claimable</v>
      </c>
      <c r="G153" s="4"/>
      <c r="H153" s="4"/>
      <c r="J153">
        <f>IF(Table3[[#This Row],[Placement Fee &amp; Variables]]&gt;0,0,1)</f>
        <v>1</v>
      </c>
      <c r="K153" s="4">
        <f>Table3[[#This Row],[Joining Date]]+180</f>
        <v>46320</v>
      </c>
      <c r="L153" t="str">
        <f t="shared" ca="1" si="10"/>
        <v>Claimable</v>
      </c>
      <c r="N153">
        <f ca="1">IF(Table3[[#This Row],[6M Stat]]="Claimable",1,0)</f>
        <v>1</v>
      </c>
      <c r="O153" s="4">
        <f>Table3[[#This Row],[Joining Date]]+365</f>
        <v>46505</v>
      </c>
      <c r="Q153" t="str">
        <f t="shared" ca="1" si="8"/>
        <v/>
      </c>
      <c r="R153">
        <f ca="1">IF(Table3[[#This Row],[12 M Stat]]="Claimable",1,0)</f>
        <v>0</v>
      </c>
      <c r="S153">
        <f ca="1">Table3[[#This Row],[Placement claim Highlight]]+Table3[[#This Row],[Highlight rule 6M]]+Table3[[#This Row],[Highlight rule 12 M]]</f>
        <v>2</v>
      </c>
      <c r="T153" s="6">
        <f>SUM(Table3[[#This Row],[Placement Fee]:[Salary]])</f>
        <v>110</v>
      </c>
      <c r="U153" s="6"/>
      <c r="V153" s="6">
        <f>IF(Table1[[#This Row],[MoL]]="Yes",55,0)</f>
        <v>55</v>
      </c>
      <c r="W153" s="6">
        <f>IF(Table1[[#This Row],[Long MoL +3 Years]]="Yes",137.5,0)</f>
        <v>0</v>
      </c>
      <c r="X153" s="6">
        <f>IF(Table1[[#This Row],[Gender]]="Female",137.5,0)</f>
        <v>0</v>
      </c>
      <c r="Y153" s="6">
        <f>IF(Table1[[#This Row],[Education]]="Bachelors +",55,0)</f>
        <v>55</v>
      </c>
      <c r="Z153" s="6">
        <f>IF(Table1[[#This Row],[Salary]]&gt;=600,82.5,0)</f>
        <v>0</v>
      </c>
    </row>
    <row r="154" spans="1:26">
      <c r="A154" s="3">
        <f>Table1[[#This Row],[SL No.]]</f>
        <v>153</v>
      </c>
      <c r="B154" t="str">
        <f>Table1[[#This Row],[Case manager]]</f>
        <v>Dina</v>
      </c>
      <c r="C154" t="str">
        <f>Table1[[#This Row],[Ref No]]</f>
        <v>JCP/26/300869</v>
      </c>
      <c r="D154" t="str">
        <f>Table1[[#This Row],[Name]]</f>
        <v>DHEYA HASAN MAKI HASAN</v>
      </c>
      <c r="E154" s="4">
        <f>'Placements 26'!F154</f>
        <v>46175</v>
      </c>
      <c r="F154" s="4" t="str">
        <f t="shared" ca="1" si="9"/>
        <v>Claimed</v>
      </c>
      <c r="G154" s="4"/>
      <c r="H154" s="4"/>
      <c r="I154" s="4">
        <v>46190</v>
      </c>
      <c r="J154">
        <f>IF(Table3[[#This Row],[Placement Fee &amp; Variables]]&gt;0,0,1)</f>
        <v>0</v>
      </c>
      <c r="K154" s="4">
        <f>Table3[[#This Row],[Joining Date]]+180</f>
        <v>46355</v>
      </c>
      <c r="L154" t="str">
        <f t="shared" ca="1" si="10"/>
        <v/>
      </c>
      <c r="N154">
        <f ca="1">IF(Table3[[#This Row],[6M Stat]]="Claimable",1,0)</f>
        <v>0</v>
      </c>
      <c r="O154" s="4">
        <f>Table3[[#This Row],[Joining Date]]+365</f>
        <v>46540</v>
      </c>
      <c r="Q154" t="str">
        <f t="shared" ca="1" si="8"/>
        <v/>
      </c>
      <c r="R154">
        <f ca="1">IF(Table3[[#This Row],[12 M Stat]]="Claimable",1,0)</f>
        <v>0</v>
      </c>
      <c r="S154">
        <f ca="1">Table3[[#This Row],[Placement claim Highlight]]+Table3[[#This Row],[Highlight rule 6M]]+Table3[[#This Row],[Highlight rule 12 M]]</f>
        <v>0</v>
      </c>
      <c r="T154" s="6">
        <f>SUM(Table3[[#This Row],[Placement Fee]:[Salary]])</f>
        <v>110</v>
      </c>
      <c r="U154" s="6"/>
      <c r="V154" s="6">
        <f>IF(Table1[[#This Row],[MoL]]="Yes",55,0)</f>
        <v>55</v>
      </c>
      <c r="W154" s="6">
        <f>IF(Table1[[#This Row],[Long MoL +3 Years]]="Yes",137.5,0)</f>
        <v>0</v>
      </c>
      <c r="X154" s="6">
        <f>IF(Table1[[#This Row],[Gender]]="Female",137.5,0)</f>
        <v>0</v>
      </c>
      <c r="Y154" s="6">
        <f>IF(Table1[[#This Row],[Education]]="Bachelors +",55,0)</f>
        <v>55</v>
      </c>
      <c r="Z154" s="6">
        <f>IF(Table1[[#This Row],[Salary]]&gt;=600,82.5,0)</f>
        <v>0</v>
      </c>
    </row>
    <row r="155" spans="1:26">
      <c r="A155" s="3">
        <f>Table1[[#This Row],[SL No.]]</f>
        <v>154</v>
      </c>
      <c r="B155" t="str">
        <f>Table1[[#This Row],[Case manager]]</f>
        <v>Malak</v>
      </c>
      <c r="C155" t="str">
        <f>Table1[[#This Row],[Ref No]]</f>
        <v>JCP/26/293883</v>
      </c>
      <c r="D155" t="str">
        <f>Table1[[#This Row],[Name]]</f>
        <v>YUSUF AQEEL A. ALJESHI</v>
      </c>
      <c r="E155" s="4">
        <f>'Placements 26'!F155</f>
        <v>46190</v>
      </c>
      <c r="F155" s="4" t="str">
        <f t="shared" ca="1" si="9"/>
        <v>Claimed</v>
      </c>
      <c r="G155" s="4"/>
      <c r="H155" s="4"/>
      <c r="I155" s="4">
        <v>46195</v>
      </c>
      <c r="J155">
        <f>IF(Table3[[#This Row],[Placement Fee &amp; Variables]]&gt;0,0,1)</f>
        <v>0</v>
      </c>
      <c r="K155" s="4">
        <f>Table3[[#This Row],[Joining Date]]+180</f>
        <v>46370</v>
      </c>
      <c r="L155" t="str">
        <f t="shared" ca="1" si="10"/>
        <v/>
      </c>
      <c r="N155">
        <f ca="1">IF(Table3[[#This Row],[6M Stat]]="Claimable",1,0)</f>
        <v>0</v>
      </c>
      <c r="O155" s="4">
        <f>Table3[[#This Row],[Joining Date]]+365</f>
        <v>46555</v>
      </c>
      <c r="Q155" t="str">
        <f t="shared" ca="1" si="8"/>
        <v/>
      </c>
      <c r="R155">
        <f ca="1">IF(Table3[[#This Row],[12 M Stat]]="Claimable",1,0)</f>
        <v>0</v>
      </c>
      <c r="S155">
        <f ca="1">Table3[[#This Row],[Placement claim Highlight]]+Table3[[#This Row],[Highlight rule 6M]]+Table3[[#This Row],[Highlight rule 12 M]]</f>
        <v>0</v>
      </c>
      <c r="T155" s="6">
        <f>SUM(Table3[[#This Row],[Placement Fee]:[Salary]])</f>
        <v>55</v>
      </c>
      <c r="U155" s="6"/>
      <c r="V155" s="6">
        <f>IF(Table1[[#This Row],[MoL]]="Yes",55,0)</f>
        <v>55</v>
      </c>
      <c r="W155" s="6">
        <f>IF(Table1[[#This Row],[Long MoL +3 Years]]="Yes",137.5,0)</f>
        <v>0</v>
      </c>
      <c r="X155" s="6">
        <f>IF(Table1[[#This Row],[Gender]]="Female",137.5,0)</f>
        <v>0</v>
      </c>
      <c r="Y155" s="6">
        <f>IF(Table1[[#This Row],[Education]]="Bachelors +",55,0)</f>
        <v>0</v>
      </c>
      <c r="Z155" s="6">
        <f>IF(Table1[[#This Row],[Salary]]&gt;=600,82.5,0)</f>
        <v>0</v>
      </c>
    </row>
    <row r="156" spans="1:26">
      <c r="A156" s="3">
        <f>Table1[[#This Row],[SL No.]]</f>
        <v>155</v>
      </c>
      <c r="B156" t="str">
        <f>Table1[[#This Row],[Case manager]]</f>
        <v>Khalifa</v>
      </c>
      <c r="C156" t="str">
        <f>Table1[[#This Row],[Ref No]]</f>
        <v>JCP/26/298842</v>
      </c>
      <c r="D156" t="str">
        <f>Table1[[#This Row],[Name]]</f>
        <v>Shaima Jameel Hasan</v>
      </c>
      <c r="E156" s="4">
        <f>'Placements 26'!F156</f>
        <v>46176</v>
      </c>
      <c r="F156" s="4" t="str">
        <f t="shared" ca="1" si="9"/>
        <v>Claimed</v>
      </c>
      <c r="G156" s="4"/>
      <c r="H156" s="4"/>
      <c r="I156" s="4">
        <v>46204</v>
      </c>
      <c r="J156">
        <f>IF(Table3[[#This Row],[Placement Fee &amp; Variables]]&gt;0,0,1)</f>
        <v>0</v>
      </c>
      <c r="K156" s="4">
        <f>Table3[[#This Row],[Joining Date]]+180</f>
        <v>46356</v>
      </c>
      <c r="L156" t="str">
        <f t="shared" ca="1" si="10"/>
        <v/>
      </c>
      <c r="N156">
        <f ca="1">IF(Table3[[#This Row],[6M Stat]]="Claimable",1,0)</f>
        <v>0</v>
      </c>
      <c r="O156" s="4">
        <f>Table3[[#This Row],[Joining Date]]+365</f>
        <v>46541</v>
      </c>
      <c r="Q156" t="str">
        <f t="shared" ca="1" si="8"/>
        <v/>
      </c>
      <c r="R156">
        <f ca="1">IF(Table3[[#This Row],[12 M Stat]]="Claimable",1,0)</f>
        <v>0</v>
      </c>
      <c r="S156">
        <f ca="1">Table3[[#This Row],[Placement claim Highlight]]+Table3[[#This Row],[Highlight rule 6M]]+Table3[[#This Row],[Highlight rule 12 M]]</f>
        <v>0</v>
      </c>
      <c r="T156" s="6">
        <f>SUM(Table3[[#This Row],[Placement Fee]:[Salary]])</f>
        <v>192.5</v>
      </c>
      <c r="U156" s="6"/>
      <c r="V156" s="6">
        <f>IF(Table1[[#This Row],[MoL]]="Yes",55,0)</f>
        <v>0</v>
      </c>
      <c r="W156" s="6">
        <f>IF(Table1[[#This Row],[Long MoL +3 Years]]="Yes",137.5,0)</f>
        <v>0</v>
      </c>
      <c r="X156" s="6">
        <f>IF(Table1[[#This Row],[Gender]]="Female",137.5,0)</f>
        <v>137.5</v>
      </c>
      <c r="Y156" s="6">
        <f>IF(Table1[[#This Row],[Education]]="Bachelors +",55,0)</f>
        <v>55</v>
      </c>
      <c r="Z156" s="6">
        <f>IF(Table1[[#This Row],[Salary]]&gt;=600,82.5,0)</f>
        <v>0</v>
      </c>
    </row>
    <row r="157" spans="1:26">
      <c r="A157" s="3">
        <f>Table1[[#This Row],[SL No.]]</f>
        <v>156</v>
      </c>
      <c r="B157">
        <f>Table1[[#This Row],[Case manager]]</f>
        <v>0</v>
      </c>
      <c r="C157" t="str">
        <f>Table1[[#This Row],[Ref No]]</f>
        <v>JCP/26/311504</v>
      </c>
      <c r="D157" t="str">
        <f>Table1[[#This Row],[Name]]</f>
        <v>SAKINA SAYED HUSAIN JAWAD FADHUL ALWADAEI</v>
      </c>
      <c r="E157" s="4">
        <f>'Placements 26'!F157</f>
        <v>46194</v>
      </c>
      <c r="F157" s="4" t="str">
        <f t="shared" ca="1" si="9"/>
        <v>Claimed</v>
      </c>
      <c r="G157" s="4"/>
      <c r="H157" s="4"/>
      <c r="I157" s="4">
        <v>46196</v>
      </c>
      <c r="J157">
        <f>IF(Table3[[#This Row],[Placement Fee &amp; Variables]]&gt;0,0,1)</f>
        <v>0</v>
      </c>
      <c r="K157" s="4">
        <f>Table3[[#This Row],[Joining Date]]+180</f>
        <v>46374</v>
      </c>
      <c r="L157" t="str">
        <f t="shared" ca="1" si="10"/>
        <v/>
      </c>
      <c r="N157">
        <f ca="1">IF(Table3[[#This Row],[6M Stat]]="Claimable",1,0)</f>
        <v>0</v>
      </c>
      <c r="O157" s="4">
        <f>Table3[[#This Row],[Joining Date]]+365</f>
        <v>46559</v>
      </c>
      <c r="Q157" t="str">
        <f t="shared" ca="1" si="8"/>
        <v/>
      </c>
      <c r="R157">
        <f ca="1">IF(Table3[[#This Row],[12 M Stat]]="Claimable",1,0)</f>
        <v>0</v>
      </c>
      <c r="S157">
        <f ca="1">Table3[[#This Row],[Placement claim Highlight]]+Table3[[#This Row],[Highlight rule 6M]]+Table3[[#This Row],[Highlight rule 12 M]]</f>
        <v>0</v>
      </c>
      <c r="T157" s="6">
        <f>SUM(Table3[[#This Row],[Placement Fee]:[Salary]])</f>
        <v>467.5</v>
      </c>
      <c r="U157" s="6"/>
      <c r="V157" s="6">
        <f>IF(Table1[[#This Row],[MoL]]="Yes",55,0)</f>
        <v>55</v>
      </c>
      <c r="W157" s="6">
        <f>IF(Table1[[#This Row],[Long MoL +3 Years]]="Yes",137.5,0)</f>
        <v>137.5</v>
      </c>
      <c r="X157" s="6">
        <f>IF(Table1[[#This Row],[Gender]]="Female",137.5,0)</f>
        <v>137.5</v>
      </c>
      <c r="Y157" s="6">
        <f>IF(Table1[[#This Row],[Education]]="Bachelors +",55,0)</f>
        <v>55</v>
      </c>
      <c r="Z157" s="6">
        <f>IF(Table1[[#This Row],[Salary]]&gt;=600,82.5,0)</f>
        <v>82.5</v>
      </c>
    </row>
    <row r="158" spans="1:26">
      <c r="A158" s="3">
        <f>Table1[[#This Row],[SL No.]]</f>
        <v>157</v>
      </c>
      <c r="B158" t="str">
        <f>Table1[[#This Row],[Case manager]]</f>
        <v>Dina</v>
      </c>
      <c r="C158" t="str">
        <f>Table1[[#This Row],[Ref No]]</f>
        <v>JCP/26/310948</v>
      </c>
      <c r="D158" t="str">
        <f>Table1[[#This Row],[Name]]</f>
        <v>SAYED HABIB HADI HABIB EBRAHIM ALI HUSAIN</v>
      </c>
      <c r="E158" s="4">
        <f>'Placements 26'!F158</f>
        <v>46194</v>
      </c>
      <c r="F158" s="4" t="str">
        <f t="shared" ca="1" si="9"/>
        <v>Claimed</v>
      </c>
      <c r="G158" s="4"/>
      <c r="H158" s="4"/>
      <c r="I158" s="4">
        <v>46196</v>
      </c>
      <c r="J158">
        <f>IF(Table3[[#This Row],[Placement Fee &amp; Variables]]&gt;0,0,1)</f>
        <v>0</v>
      </c>
      <c r="K158" s="4">
        <f>Table3[[#This Row],[Joining Date]]+180</f>
        <v>46374</v>
      </c>
      <c r="L158" t="str">
        <f t="shared" ca="1" si="10"/>
        <v/>
      </c>
      <c r="N158">
        <f ca="1">IF(Table3[[#This Row],[6M Stat]]="Claimable",1,0)</f>
        <v>0</v>
      </c>
      <c r="O158" s="4">
        <f>Table3[[#This Row],[Joining Date]]+365</f>
        <v>46559</v>
      </c>
      <c r="Q158" t="str">
        <f t="shared" ca="1" si="8"/>
        <v/>
      </c>
      <c r="R158">
        <f ca="1">IF(Table3[[#This Row],[12 M Stat]]="Claimable",1,0)</f>
        <v>0</v>
      </c>
      <c r="S158">
        <f ca="1">Table3[[#This Row],[Placement claim Highlight]]+Table3[[#This Row],[Highlight rule 6M]]+Table3[[#This Row],[Highlight rule 12 M]]</f>
        <v>0</v>
      </c>
      <c r="T158" s="6">
        <f>SUM(Table3[[#This Row],[Placement Fee]:[Salary]])</f>
        <v>55</v>
      </c>
      <c r="U158" s="6"/>
      <c r="V158" s="6">
        <f>IF(Table1[[#This Row],[MoL]]="Yes",55,0)</f>
        <v>55</v>
      </c>
      <c r="W158" s="6">
        <f>IF(Table1[[#This Row],[Long MoL +3 Years]]="Yes",137.5,0)</f>
        <v>0</v>
      </c>
      <c r="X158" s="6">
        <f>IF(Table1[[#This Row],[Gender]]="Female",137.5,0)</f>
        <v>0</v>
      </c>
      <c r="Y158" s="6">
        <f>IF(Table1[[#This Row],[Education]]="Bachelors +",55,0)</f>
        <v>0</v>
      </c>
      <c r="Z158" s="6">
        <f>IF(Table1[[#This Row],[Salary]]&gt;=600,82.5,0)</f>
        <v>0</v>
      </c>
    </row>
    <row r="159" spans="1:26">
      <c r="A159" s="3">
        <f>Table1[[#This Row],[SL No.]]</f>
        <v>158</v>
      </c>
      <c r="B159" t="str">
        <f>Table1[[#This Row],[Case manager]]</f>
        <v>Husain</v>
      </c>
      <c r="C159" t="str">
        <f>Table1[[#This Row],[Ref No]]</f>
        <v>JCP/26/311707</v>
      </c>
      <c r="D159" t="str">
        <f>Table1[[#This Row],[Name]]</f>
        <v>Yusuf Hussam Alsayed</v>
      </c>
      <c r="E159" s="4">
        <f>'Placements 26'!F159</f>
        <v>46187</v>
      </c>
      <c r="F159" s="4" t="str">
        <f t="shared" ca="1" si="9"/>
        <v>Claimed</v>
      </c>
      <c r="G159" s="4"/>
      <c r="H159" s="4"/>
      <c r="I159" s="4">
        <v>46196</v>
      </c>
      <c r="J159">
        <f>IF(Table3[[#This Row],[Placement Fee &amp; Variables]]&gt;0,0,1)</f>
        <v>0</v>
      </c>
      <c r="K159" s="4">
        <f>Table3[[#This Row],[Joining Date]]+180</f>
        <v>46367</v>
      </c>
      <c r="L159" t="str">
        <f t="shared" ca="1" si="10"/>
        <v/>
      </c>
      <c r="N159">
        <f ca="1">IF(Table3[[#This Row],[6M Stat]]="Claimable",1,0)</f>
        <v>0</v>
      </c>
      <c r="O159" s="4">
        <f>Table3[[#This Row],[Joining Date]]+365</f>
        <v>46552</v>
      </c>
      <c r="Q159" t="str">
        <f t="shared" ca="1" si="8"/>
        <v/>
      </c>
      <c r="R159">
        <f ca="1">IF(Table3[[#This Row],[12 M Stat]]="Claimable",1,0)</f>
        <v>0</v>
      </c>
      <c r="S159">
        <f ca="1">Table3[[#This Row],[Placement claim Highlight]]+Table3[[#This Row],[Highlight rule 6M]]+Table3[[#This Row],[Highlight rule 12 M]]</f>
        <v>0</v>
      </c>
      <c r="T159" s="6">
        <f>SUM(Table3[[#This Row],[Placement Fee]:[Salary]])</f>
        <v>330</v>
      </c>
      <c r="U159" s="6"/>
      <c r="V159" s="6">
        <f>IF(Table1[[#This Row],[MoL]]="Yes",55,0)</f>
        <v>55</v>
      </c>
      <c r="W159" s="6">
        <f>IF(Table1[[#This Row],[Long MoL +3 Years]]="Yes",137.5,0)</f>
        <v>137.5</v>
      </c>
      <c r="X159" s="6">
        <f>IF(Table1[[#This Row],[Gender]]="Female",137.5,0)</f>
        <v>0</v>
      </c>
      <c r="Y159" s="6">
        <f>IF(Table1[[#This Row],[Education]]="Bachelors +",55,0)</f>
        <v>55</v>
      </c>
      <c r="Z159" s="6">
        <f>IF(Table1[[#This Row],[Salary]]&gt;=600,82.5,0)</f>
        <v>82.5</v>
      </c>
    </row>
    <row r="160" spans="1:26">
      <c r="A160" s="3">
        <f>Table1[[#This Row],[SL No.]]</f>
        <v>159</v>
      </c>
      <c r="B160">
        <f>Table1[[#This Row],[Case manager]]</f>
        <v>0</v>
      </c>
      <c r="C160" t="str">
        <f>Table1[[#This Row],[Ref No]]</f>
        <v>JCP/26/309498</v>
      </c>
      <c r="D160" t="str">
        <f>Table1[[#This Row],[Name]]</f>
        <v>Siddiqa abdulnabi abdulrasool ali</v>
      </c>
      <c r="E160" s="4">
        <f>'Placements 26'!F160</f>
        <v>46190</v>
      </c>
      <c r="F160" s="4" t="str">
        <f t="shared" ca="1" si="9"/>
        <v>Claimed</v>
      </c>
      <c r="G160" s="4"/>
      <c r="H160" s="4"/>
      <c r="I160" s="4">
        <v>46202</v>
      </c>
      <c r="J160">
        <f>IF(Table3[[#This Row],[Placement Fee &amp; Variables]]&gt;0,0,1)</f>
        <v>0</v>
      </c>
      <c r="K160" s="4">
        <f>Table3[[#This Row],[Joining Date]]+180</f>
        <v>46370</v>
      </c>
      <c r="L160" t="str">
        <f t="shared" ca="1" si="10"/>
        <v/>
      </c>
      <c r="N160">
        <f ca="1">IF(Table3[[#This Row],[6M Stat]]="Claimable",1,0)</f>
        <v>0</v>
      </c>
      <c r="O160" s="4">
        <f>Table3[[#This Row],[Joining Date]]+365</f>
        <v>46555</v>
      </c>
      <c r="Q160" t="str">
        <f t="shared" ca="1" si="8"/>
        <v/>
      </c>
      <c r="R160">
        <f ca="1">IF(Table3[[#This Row],[12 M Stat]]="Claimable",1,0)</f>
        <v>0</v>
      </c>
      <c r="S160">
        <f ca="1">Table3[[#This Row],[Placement claim Highlight]]+Table3[[#This Row],[Highlight rule 6M]]+Table3[[#This Row],[Highlight rule 12 M]]</f>
        <v>0</v>
      </c>
      <c r="T160" s="6">
        <f>SUM(Table3[[#This Row],[Placement Fee]:[Salary]])</f>
        <v>467.5</v>
      </c>
      <c r="U160" s="6"/>
      <c r="V160" s="6">
        <f>IF(Table1[[#This Row],[MoL]]="Yes",55,0)</f>
        <v>55</v>
      </c>
      <c r="W160" s="6">
        <f>IF(Table1[[#This Row],[Long MoL +3 Years]]="Yes",137.5,0)</f>
        <v>137.5</v>
      </c>
      <c r="X160" s="6">
        <f>IF(Table1[[#This Row],[Gender]]="Female",137.5,0)</f>
        <v>137.5</v>
      </c>
      <c r="Y160" s="6">
        <f>IF(Table1[[#This Row],[Education]]="Bachelors +",55,0)</f>
        <v>55</v>
      </c>
      <c r="Z160" s="6">
        <f>IF(Table1[[#This Row],[Salary]]&gt;=600,82.5,0)</f>
        <v>82.5</v>
      </c>
    </row>
    <row r="161" spans="1:26">
      <c r="A161" s="3">
        <f>Table1[[#This Row],[SL No.]]</f>
        <v>160</v>
      </c>
      <c r="B161">
        <f>Table1[[#This Row],[Case manager]]</f>
        <v>0</v>
      </c>
      <c r="C161" t="str">
        <f>Table1[[#This Row],[Ref No]]</f>
        <v>JCP/26/310323</v>
      </c>
      <c r="D161" t="str">
        <f>Table1[[#This Row],[Name]]</f>
        <v>MOHAMED JASIM M. SALEM</v>
      </c>
      <c r="E161" s="4">
        <f>'Placements 26'!F161</f>
        <v>46190</v>
      </c>
      <c r="F161" s="4" t="str">
        <f t="shared" ca="1" si="9"/>
        <v>Claimable</v>
      </c>
      <c r="G161" s="4"/>
      <c r="H161" s="4"/>
      <c r="J161">
        <f>IF(Table3[[#This Row],[Placement Fee &amp; Variables]]&gt;0,0,1)</f>
        <v>1</v>
      </c>
      <c r="K161" s="4">
        <f>Table3[[#This Row],[Joining Date]]+180</f>
        <v>46370</v>
      </c>
      <c r="L161" t="str">
        <f t="shared" ca="1" si="10"/>
        <v/>
      </c>
      <c r="N161">
        <f ca="1">IF(Table3[[#This Row],[6M Stat]]="Claimable",1,0)</f>
        <v>0</v>
      </c>
      <c r="O161" s="4">
        <f>Table3[[#This Row],[Joining Date]]+365</f>
        <v>46555</v>
      </c>
      <c r="Q161" t="str">
        <f t="shared" ca="1" si="8"/>
        <v/>
      </c>
      <c r="R161">
        <f ca="1">IF(Table3[[#This Row],[12 M Stat]]="Claimable",1,0)</f>
        <v>0</v>
      </c>
      <c r="S161">
        <f ca="1">Table3[[#This Row],[Placement claim Highlight]]+Table3[[#This Row],[Highlight rule 6M]]+Table3[[#This Row],[Highlight rule 12 M]]</f>
        <v>1</v>
      </c>
      <c r="T161" s="6">
        <f>SUM(Table3[[#This Row],[Placement Fee]:[Salary]])</f>
        <v>137.5</v>
      </c>
      <c r="U161" s="6"/>
      <c r="V161" s="6">
        <f>IF(Table1[[#This Row],[MoL]]="Yes",55,0)</f>
        <v>0</v>
      </c>
      <c r="W161" s="6">
        <f>IF(Table1[[#This Row],[Long MoL +3 Years]]="Yes",137.5,0)</f>
        <v>0</v>
      </c>
      <c r="X161" s="6">
        <f>IF(Table1[[#This Row],[Gender]]="Female",137.5,0)</f>
        <v>0</v>
      </c>
      <c r="Y161" s="6">
        <f>IF(Table1[[#This Row],[Education]]="Bachelors +",55,0)</f>
        <v>55</v>
      </c>
      <c r="Z161" s="6">
        <f>IF(Table1[[#This Row],[Salary]]&gt;=600,82.5,0)</f>
        <v>82.5</v>
      </c>
    </row>
    <row r="162" spans="1:26">
      <c r="A162" s="3">
        <f>Table1[[#This Row],[SL No.]]</f>
        <v>161</v>
      </c>
      <c r="B162">
        <f>Table1[[#This Row],[Case manager]]</f>
        <v>0</v>
      </c>
      <c r="C162" t="str">
        <f>Table1[[#This Row],[Ref No]]</f>
        <v>JCP/25/254886</v>
      </c>
      <c r="D162" t="str">
        <f>Table1[[#This Row],[Name]]</f>
        <v xml:space="preserve"> AYMAN ABDULSHAHEED A ALLNAKAL</v>
      </c>
      <c r="E162" s="4">
        <f>'Placements 26'!F162</f>
        <v>46194</v>
      </c>
      <c r="F162" s="4" t="str">
        <f t="shared" ca="1" si="9"/>
        <v>Claimable</v>
      </c>
      <c r="G162" s="4"/>
      <c r="H162" s="4"/>
      <c r="J162">
        <f>IF(Table3[[#This Row],[Placement Fee &amp; Variables]]&gt;0,0,1)</f>
        <v>1</v>
      </c>
      <c r="K162" s="4">
        <f>Table3[[#This Row],[Joining Date]]+180</f>
        <v>46374</v>
      </c>
      <c r="L162" t="str">
        <f t="shared" ca="1" si="10"/>
        <v/>
      </c>
      <c r="N162">
        <f ca="1">IF(Table3[[#This Row],[6M Stat]]="Claimable",1,0)</f>
        <v>0</v>
      </c>
      <c r="O162" s="4">
        <f>Table3[[#This Row],[Joining Date]]+365</f>
        <v>46559</v>
      </c>
      <c r="Q162" t="str">
        <f t="shared" ca="1" si="8"/>
        <v/>
      </c>
      <c r="R162">
        <f ca="1">IF(Table3[[#This Row],[12 M Stat]]="Claimable",1,0)</f>
        <v>0</v>
      </c>
      <c r="S162">
        <f ca="1">Table3[[#This Row],[Placement claim Highlight]]+Table3[[#This Row],[Highlight rule 6M]]+Table3[[#This Row],[Highlight rule 12 M]]</f>
        <v>1</v>
      </c>
      <c r="T162" s="6">
        <f>SUM(Table3[[#This Row],[Placement Fee]:[Salary]])</f>
        <v>110</v>
      </c>
      <c r="U162" s="6"/>
      <c r="V162" s="6">
        <f>IF(Table1[[#This Row],[MoL]]="Yes",55,0)</f>
        <v>55</v>
      </c>
      <c r="W162" s="6">
        <f>IF(Table1[[#This Row],[Long MoL +3 Years]]="Yes",137.5,0)</f>
        <v>0</v>
      </c>
      <c r="X162" s="6">
        <f>IF(Table1[[#This Row],[Gender]]="Female",137.5,0)</f>
        <v>0</v>
      </c>
      <c r="Y162" s="6">
        <f>IF(Table1[[#This Row],[Education]]="Bachelors +",55,0)</f>
        <v>55</v>
      </c>
      <c r="Z162" s="6">
        <f>IF(Table1[[#This Row],[Salary]]&gt;=600,82.5,0)</f>
        <v>0</v>
      </c>
    </row>
    <row r="163" spans="1:26">
      <c r="A163" s="3">
        <f>Table1[[#This Row],[SL No.]]</f>
        <v>162</v>
      </c>
      <c r="B163" t="str">
        <f>Table1[[#This Row],[Case manager]]</f>
        <v>Meaad</v>
      </c>
      <c r="C163" t="str">
        <f>Table1[[#This Row],[Ref No]]</f>
        <v>JCP/26/310228</v>
      </c>
      <c r="D163" t="str">
        <f>Table1[[#This Row],[Name]]</f>
        <v>SAYED HUSAIN JAWAD ALAWI AHMED HASHIM</v>
      </c>
      <c r="E163" s="4">
        <f>'Placements 26'!F163</f>
        <v>46194</v>
      </c>
      <c r="F163" s="4" t="str">
        <f t="shared" ca="1" si="9"/>
        <v>Claimable</v>
      </c>
      <c r="G163" s="4"/>
      <c r="H163" s="4"/>
      <c r="J163">
        <f>IF(Table3[[#This Row],[Placement Fee &amp; Variables]]&gt;0,0,1)</f>
        <v>1</v>
      </c>
      <c r="K163" s="4">
        <f>Table3[[#This Row],[Joining Date]]+180</f>
        <v>46374</v>
      </c>
      <c r="L163" t="str">
        <f t="shared" ca="1" si="10"/>
        <v/>
      </c>
      <c r="N163">
        <f ca="1">IF(Table3[[#This Row],[6M Stat]]="Claimable",1,0)</f>
        <v>0</v>
      </c>
      <c r="O163" s="4">
        <f>Table3[[#This Row],[Joining Date]]+365</f>
        <v>46559</v>
      </c>
      <c r="Q163" t="str">
        <f t="shared" ca="1" si="8"/>
        <v/>
      </c>
      <c r="R163">
        <f ca="1">IF(Table3[[#This Row],[12 M Stat]]="Claimable",1,0)</f>
        <v>0</v>
      </c>
      <c r="S163">
        <f ca="1">Table3[[#This Row],[Placement claim Highlight]]+Table3[[#This Row],[Highlight rule 6M]]+Table3[[#This Row],[Highlight rule 12 M]]</f>
        <v>1</v>
      </c>
      <c r="T163" s="6">
        <f>SUM(Table3[[#This Row],[Placement Fee]:[Salary]])</f>
        <v>55</v>
      </c>
      <c r="U163" s="6"/>
      <c r="V163" s="6">
        <f>IF(Table1[[#This Row],[MoL]]="Yes",55,0)</f>
        <v>55</v>
      </c>
      <c r="W163" s="6">
        <f>IF(Table1[[#This Row],[Long MoL +3 Years]]="Yes",137.5,0)</f>
        <v>0</v>
      </c>
      <c r="X163" s="6">
        <f>IF(Table1[[#This Row],[Gender]]="Female",137.5,0)</f>
        <v>0</v>
      </c>
      <c r="Y163" s="6">
        <f>IF(Table1[[#This Row],[Education]]="Bachelors +",55,0)</f>
        <v>0</v>
      </c>
      <c r="Z163" s="6">
        <f>IF(Table1[[#This Row],[Salary]]&gt;=600,82.5,0)</f>
        <v>0</v>
      </c>
    </row>
    <row r="164" spans="1:26">
      <c r="A164" s="3">
        <f>Table1[[#This Row],[SL No.]]</f>
        <v>163</v>
      </c>
      <c r="B164">
        <f>Table1[[#This Row],[Case manager]]</f>
        <v>0</v>
      </c>
      <c r="C164" t="str">
        <f>Table1[[#This Row],[Ref No]]</f>
        <v>JCP/26/310935</v>
      </c>
      <c r="D164" t="str">
        <f>Table1[[#This Row],[Name]]</f>
        <v xml:space="preserve"> MARWA GAMAL ABDELNASSER HUSSEIN</v>
      </c>
      <c r="E164" s="4">
        <f>'Placements 26'!F164</f>
        <v>46190</v>
      </c>
      <c r="F164" s="4" t="str">
        <f t="shared" ca="1" si="9"/>
        <v>Claimable</v>
      </c>
      <c r="G164" s="4"/>
      <c r="H164" s="4"/>
      <c r="J164">
        <f>IF(Table3[[#This Row],[Placement Fee &amp; Variables]]&gt;0,0,1)</f>
        <v>1</v>
      </c>
      <c r="K164" s="4">
        <f>Table3[[#This Row],[Joining Date]]+180</f>
        <v>46370</v>
      </c>
      <c r="L164" t="str">
        <f t="shared" ca="1" si="10"/>
        <v/>
      </c>
      <c r="N164">
        <f ca="1">IF(Table3[[#This Row],[6M Stat]]="Claimable",1,0)</f>
        <v>0</v>
      </c>
      <c r="O164" s="4">
        <f>Table3[[#This Row],[Joining Date]]+365</f>
        <v>46555</v>
      </c>
      <c r="Q164" t="str">
        <f t="shared" ca="1" si="8"/>
        <v/>
      </c>
      <c r="R164">
        <f ca="1">IF(Table3[[#This Row],[12 M Stat]]="Claimable",1,0)</f>
        <v>0</v>
      </c>
      <c r="S164">
        <f ca="1">Table3[[#This Row],[Placement claim Highlight]]+Table3[[#This Row],[Highlight rule 6M]]+Table3[[#This Row],[Highlight rule 12 M]]</f>
        <v>1</v>
      </c>
      <c r="T164" s="6">
        <f>SUM(Table3[[#This Row],[Placement Fee]:[Salary]])</f>
        <v>275</v>
      </c>
      <c r="U164" s="6"/>
      <c r="V164" s="6">
        <f>IF(Table1[[#This Row],[MoL]]="Yes",55,0)</f>
        <v>0</v>
      </c>
      <c r="W164" s="6">
        <f>IF(Table1[[#This Row],[Long MoL +3 Years]]="Yes",137.5,0)</f>
        <v>0</v>
      </c>
      <c r="X164" s="6">
        <f>IF(Table1[[#This Row],[Gender]]="Female",137.5,0)</f>
        <v>137.5</v>
      </c>
      <c r="Y164" s="6">
        <f>IF(Table1[[#This Row],[Education]]="Bachelors +",55,0)</f>
        <v>55</v>
      </c>
      <c r="Z164" s="6">
        <f>IF(Table1[[#This Row],[Salary]]&gt;=600,82.5,0)</f>
        <v>82.5</v>
      </c>
    </row>
    <row r="165" spans="1:26">
      <c r="A165" s="3">
        <f>Table1[[#This Row],[SL No.]]</f>
        <v>164</v>
      </c>
      <c r="B165" t="str">
        <f>Table1[[#This Row],[Case manager]]</f>
        <v>Dina</v>
      </c>
      <c r="C165" t="str">
        <f>Table1[[#This Row],[Ref No]]</f>
        <v>JCP/26/303155</v>
      </c>
      <c r="D165" t="str">
        <f>Table1[[#This Row],[Name]]</f>
        <v>ABDULLA FAISAL ABDULL ABDULLA</v>
      </c>
      <c r="E165" s="4">
        <f>'Placements 26'!F165</f>
        <v>46187</v>
      </c>
      <c r="F165" s="4" t="str">
        <f t="shared" ca="1" si="9"/>
        <v>Claimed</v>
      </c>
      <c r="G165" s="4"/>
      <c r="H165" s="4"/>
      <c r="I165" s="4">
        <v>46205</v>
      </c>
      <c r="J165">
        <f>IF(Table3[[#This Row],[Placement Fee &amp; Variables]]&gt;0,0,1)</f>
        <v>0</v>
      </c>
      <c r="K165" s="4">
        <f>Table3[[#This Row],[Joining Date]]+180</f>
        <v>46367</v>
      </c>
      <c r="L165" t="str">
        <f t="shared" ca="1" si="10"/>
        <v/>
      </c>
      <c r="N165">
        <f ca="1">IF(Table3[[#This Row],[6M Stat]]="Claimable",1,0)</f>
        <v>0</v>
      </c>
      <c r="O165" s="4">
        <f>Table3[[#This Row],[Joining Date]]+365</f>
        <v>46552</v>
      </c>
      <c r="Q165" t="str">
        <f t="shared" ca="1" si="8"/>
        <v/>
      </c>
      <c r="R165">
        <f ca="1">IF(Table3[[#This Row],[12 M Stat]]="Claimable",1,0)</f>
        <v>0</v>
      </c>
      <c r="S165">
        <f ca="1">Table3[[#This Row],[Placement claim Highlight]]+Table3[[#This Row],[Highlight rule 6M]]+Table3[[#This Row],[Highlight rule 12 M]]</f>
        <v>0</v>
      </c>
      <c r="T165" s="6">
        <f>SUM(Table3[[#This Row],[Placement Fee]:[Salary]])</f>
        <v>0</v>
      </c>
      <c r="U165" s="6"/>
      <c r="V165" s="6">
        <f>IF(Table1[[#This Row],[MoL]]="Yes",55,0)</f>
        <v>0</v>
      </c>
      <c r="W165" s="6">
        <f>IF(Table1[[#This Row],[Long MoL +3 Years]]="Yes",137.5,0)</f>
        <v>0</v>
      </c>
      <c r="X165" s="6">
        <f>IF(Table1[[#This Row],[Gender]]="Female",137.5,0)</f>
        <v>0</v>
      </c>
      <c r="Y165" s="6">
        <f>IF(Table1[[#This Row],[Education]]="Bachelors +",55,0)</f>
        <v>0</v>
      </c>
      <c r="Z165" s="6">
        <f>IF(Table1[[#This Row],[Salary]]&gt;=600,82.5,0)</f>
        <v>0</v>
      </c>
    </row>
    <row r="166" spans="1:26">
      <c r="A166" s="3">
        <f>Table1[[#This Row],[SL No.]]</f>
        <v>165</v>
      </c>
      <c r="B166" t="str">
        <f>Table1[[#This Row],[Case manager]]</f>
        <v>Malak</v>
      </c>
      <c r="C166" t="str">
        <f>Table1[[#This Row],[Ref No]]</f>
        <v>JCP/26/311735</v>
      </c>
      <c r="D166" t="str">
        <f>Table1[[#This Row],[Name]]</f>
        <v>ALI ABBAS MOHAMED ABBAS</v>
      </c>
      <c r="E166" s="4">
        <f>'Placements 26'!F166</f>
        <v>46204</v>
      </c>
      <c r="F166" s="4" t="str">
        <f t="shared" ca="1" si="9"/>
        <v>Claimed</v>
      </c>
      <c r="G166" s="4"/>
      <c r="H166" s="4"/>
      <c r="I166" s="4">
        <v>46208</v>
      </c>
      <c r="J166">
        <f>IF(Table3[[#This Row],[Placement Fee &amp; Variables]]&gt;0,0,1)</f>
        <v>0</v>
      </c>
      <c r="K166" s="4">
        <f>Table3[[#This Row],[Joining Date]]+180</f>
        <v>46384</v>
      </c>
      <c r="L166" t="str">
        <f t="shared" ca="1" si="10"/>
        <v/>
      </c>
      <c r="N166">
        <f ca="1">IF(Table3[[#This Row],[6M Stat]]="Claimable",1,0)</f>
        <v>0</v>
      </c>
      <c r="O166" s="4">
        <f>Table3[[#This Row],[Joining Date]]+365</f>
        <v>46569</v>
      </c>
      <c r="Q166" t="str">
        <f t="shared" ca="1" si="8"/>
        <v/>
      </c>
      <c r="R166">
        <f ca="1">IF(Table3[[#This Row],[12 M Stat]]="Claimable",1,0)</f>
        <v>0</v>
      </c>
      <c r="S166">
        <f ca="1">Table3[[#This Row],[Placement claim Highlight]]+Table3[[#This Row],[Highlight rule 6M]]+Table3[[#This Row],[Highlight rule 12 M]]</f>
        <v>0</v>
      </c>
      <c r="T166" s="6">
        <f>SUM(Table3[[#This Row],[Placement Fee]:[Salary]])</f>
        <v>55</v>
      </c>
      <c r="U166" s="6"/>
      <c r="V166" s="6">
        <f>IF(Table1[[#This Row],[MoL]]="Yes",55,0)</f>
        <v>55</v>
      </c>
      <c r="W166" s="6">
        <f>IF(Table1[[#This Row],[Long MoL +3 Years]]="Yes",137.5,0)</f>
        <v>0</v>
      </c>
      <c r="X166" s="6">
        <f>IF(Table1[[#This Row],[Gender]]="Female",137.5,0)</f>
        <v>0</v>
      </c>
      <c r="Y166" s="6">
        <f>IF(Table1[[#This Row],[Education]]="Bachelors +",55,0)</f>
        <v>0</v>
      </c>
      <c r="Z166" s="6">
        <f>IF(Table1[[#This Row],[Salary]]&gt;=600,82.5,0)</f>
        <v>0</v>
      </c>
    </row>
    <row r="167" spans="1:26">
      <c r="A167" s="3">
        <f>Table1[[#This Row],[SL No.]]</f>
        <v>166</v>
      </c>
      <c r="B167">
        <f>Table1[[#This Row],[Case manager]]</f>
        <v>0</v>
      </c>
      <c r="C167" t="str">
        <f>Table1[[#This Row],[Ref No]]</f>
        <v>JCP/26/311900</v>
      </c>
      <c r="D167" t="str">
        <f>Table1[[#This Row],[Name]]</f>
        <v>عبدالله رضا عيسى</v>
      </c>
      <c r="E167" s="4">
        <f>'Placements 26'!F167</f>
        <v>46194</v>
      </c>
      <c r="F167" s="4" t="str">
        <f t="shared" ca="1" si="9"/>
        <v>Claimable</v>
      </c>
      <c r="G167" s="4"/>
      <c r="H167" s="4"/>
      <c r="J167">
        <f>IF(Table3[[#This Row],[Placement Fee &amp; Variables]]&gt;0,0,1)</f>
        <v>1</v>
      </c>
      <c r="K167" s="4">
        <f>Table3[[#This Row],[Joining Date]]+180</f>
        <v>46374</v>
      </c>
      <c r="L167" t="str">
        <f t="shared" ca="1" si="10"/>
        <v/>
      </c>
      <c r="N167">
        <f ca="1">IF(Table3[[#This Row],[6M Stat]]="Claimable",1,0)</f>
        <v>0</v>
      </c>
      <c r="O167" s="4">
        <f>Table3[[#This Row],[Joining Date]]+365</f>
        <v>46559</v>
      </c>
      <c r="Q167" t="str">
        <f t="shared" ca="1" si="8"/>
        <v/>
      </c>
      <c r="R167">
        <f ca="1">IF(Table3[[#This Row],[12 M Stat]]="Claimable",1,0)</f>
        <v>0</v>
      </c>
      <c r="S167">
        <f ca="1">Table3[[#This Row],[Placement claim Highlight]]+Table3[[#This Row],[Highlight rule 6M]]+Table3[[#This Row],[Highlight rule 12 M]]</f>
        <v>1</v>
      </c>
      <c r="T167" s="6">
        <f>SUM(Table3[[#This Row],[Placement Fee]:[Salary]])</f>
        <v>192.5</v>
      </c>
      <c r="U167" s="6"/>
      <c r="V167" s="6">
        <f>IF(Table1[[#This Row],[MoL]]="Yes",55,0)</f>
        <v>55</v>
      </c>
      <c r="W167" s="6">
        <f>IF(Table1[[#This Row],[Long MoL +3 Years]]="Yes",137.5,0)</f>
        <v>137.5</v>
      </c>
      <c r="X167" s="6">
        <f>IF(Table1[[#This Row],[Gender]]="Female",137.5,0)</f>
        <v>0</v>
      </c>
      <c r="Y167" s="6">
        <f>IF(Table1[[#This Row],[Education]]="Bachelors +",55,0)</f>
        <v>0</v>
      </c>
      <c r="Z167" s="6">
        <f>IF(Table1[[#This Row],[Salary]]&gt;=600,82.5,0)</f>
        <v>0</v>
      </c>
    </row>
    <row r="168" spans="1:26">
      <c r="A168" s="3">
        <f>Table1[[#This Row],[SL No.]]</f>
        <v>167</v>
      </c>
      <c r="B168" t="str">
        <f>Table1[[#This Row],[Case manager]]</f>
        <v>Malak</v>
      </c>
      <c r="C168" t="str">
        <f>Table1[[#This Row],[Ref No]]</f>
        <v>JCP/26/318540</v>
      </c>
      <c r="D168" t="str">
        <f>Table1[[#This Row],[Name]]</f>
        <v>ALMIQDAD SALEH MAHDI AHMED</v>
      </c>
      <c r="E168" s="4">
        <f>'Placements 26'!F168</f>
        <v>46215</v>
      </c>
      <c r="F168" s="4" t="str">
        <f t="shared" ca="1" si="9"/>
        <v>Claimed</v>
      </c>
      <c r="G168" s="4"/>
      <c r="H168" s="4"/>
      <c r="I168" s="4">
        <v>46217</v>
      </c>
      <c r="J168">
        <f>IF(Table3[[#This Row],[Placement Fee &amp; Variables]]&gt;0,0,1)</f>
        <v>0</v>
      </c>
      <c r="K168" s="4">
        <f>Table3[[#This Row],[Joining Date]]+180</f>
        <v>46395</v>
      </c>
      <c r="L168" t="str">
        <f t="shared" ca="1" si="10"/>
        <v/>
      </c>
      <c r="N168">
        <f ca="1">IF(Table3[[#This Row],[6M Stat]]="Claimable",1,0)</f>
        <v>0</v>
      </c>
      <c r="O168" s="4">
        <f>Table3[[#This Row],[Joining Date]]+365</f>
        <v>46580</v>
      </c>
      <c r="Q168" t="str">
        <f t="shared" ca="1" si="8"/>
        <v/>
      </c>
      <c r="R168">
        <f ca="1">IF(Table3[[#This Row],[12 M Stat]]="Claimable",1,0)</f>
        <v>0</v>
      </c>
      <c r="S168">
        <f ca="1">Table3[[#This Row],[Placement claim Highlight]]+Table3[[#This Row],[Highlight rule 6M]]+Table3[[#This Row],[Highlight rule 12 M]]</f>
        <v>0</v>
      </c>
      <c r="T168" s="6">
        <f>SUM(Table3[[#This Row],[Placement Fee]:[Salary]])</f>
        <v>55</v>
      </c>
      <c r="U168" s="6"/>
      <c r="V168" s="6">
        <f>IF(Table1[[#This Row],[MoL]]="Yes",55,0)</f>
        <v>0</v>
      </c>
      <c r="W168" s="6">
        <f>IF(Table1[[#This Row],[Long MoL +3 Years]]="Yes",137.5,0)</f>
        <v>0</v>
      </c>
      <c r="X168" s="6">
        <f>IF(Table1[[#This Row],[Gender]]="Female",137.5,0)</f>
        <v>0</v>
      </c>
      <c r="Y168" s="6">
        <f>IF(Table1[[#This Row],[Education]]="Bachelors +",55,0)</f>
        <v>55</v>
      </c>
      <c r="Z168" s="6">
        <f>IF(Table1[[#This Row],[Salary]]&gt;=600,82.5,0)</f>
        <v>0</v>
      </c>
    </row>
    <row r="169" spans="1:26">
      <c r="A169" s="3">
        <f>Table1[[#This Row],[SL No.]]</f>
        <v>168</v>
      </c>
      <c r="B169" t="str">
        <f>Table1[[#This Row],[Case manager]]</f>
        <v>Husain</v>
      </c>
      <c r="C169" t="str">
        <f>Table1[[#This Row],[Ref No]]</f>
        <v>JCP/26/296844</v>
      </c>
      <c r="D169" t="str">
        <f>Table1[[#This Row],[Name]]</f>
        <v>WALEED ABDULLA HAJI ABDULRAHMAN</v>
      </c>
      <c r="E169" s="4">
        <f>'Placements 26'!F169</f>
        <v>46215</v>
      </c>
      <c r="F169" s="4" t="str">
        <f t="shared" ca="1" si="9"/>
        <v>Claimable</v>
      </c>
      <c r="G169" s="4"/>
      <c r="H169" s="4"/>
      <c r="J169">
        <f>IF(Table3[[#This Row],[Placement Fee &amp; Variables]]&gt;0,0,1)</f>
        <v>1</v>
      </c>
      <c r="K169" s="4">
        <f>Table3[[#This Row],[Joining Date]]+180</f>
        <v>46395</v>
      </c>
      <c r="L169" t="str">
        <f t="shared" ca="1" si="10"/>
        <v/>
      </c>
      <c r="N169">
        <f ca="1">IF(Table3[[#This Row],[6M Stat]]="Claimable",1,0)</f>
        <v>0</v>
      </c>
      <c r="O169" s="4">
        <f>Table3[[#This Row],[Joining Date]]+365</f>
        <v>46580</v>
      </c>
      <c r="Q169" t="str">
        <f t="shared" ca="1" si="8"/>
        <v/>
      </c>
      <c r="R169">
        <f ca="1">IF(Table3[[#This Row],[12 M Stat]]="Claimable",1,0)</f>
        <v>0</v>
      </c>
      <c r="S169">
        <f ca="1">Table3[[#This Row],[Placement claim Highlight]]+Table3[[#This Row],[Highlight rule 6M]]+Table3[[#This Row],[Highlight rule 12 M]]</f>
        <v>1</v>
      </c>
      <c r="T169" s="6">
        <f>SUM(Table3[[#This Row],[Placement Fee]:[Salary]])</f>
        <v>330</v>
      </c>
      <c r="U169" s="6"/>
      <c r="V169" s="6">
        <f>IF(Table1[[#This Row],[MoL]]="Yes",55,0)</f>
        <v>55</v>
      </c>
      <c r="W169" s="6">
        <f>IF(Table1[[#This Row],[Long MoL +3 Years]]="Yes",137.5,0)</f>
        <v>137.5</v>
      </c>
      <c r="X169" s="6">
        <f>IF(Table1[[#This Row],[Gender]]="Female",137.5,0)</f>
        <v>0</v>
      </c>
      <c r="Y169" s="6">
        <f>IF(Table1[[#This Row],[Education]]="Bachelors +",55,0)</f>
        <v>55</v>
      </c>
      <c r="Z169" s="6">
        <f>IF(Table1[[#This Row],[Salary]]&gt;=600,82.5,0)</f>
        <v>82.5</v>
      </c>
    </row>
    <row r="170" spans="1:26">
      <c r="A170" s="3">
        <f>Table1[[#This Row],[SL No.]]</f>
        <v>169</v>
      </c>
      <c r="B170" t="str">
        <f>Table1[[#This Row],[Case manager]]</f>
        <v>Meaad</v>
      </c>
      <c r="C170" t="str">
        <f>Table1[[#This Row],[Ref No]]</f>
        <v>JCP/26/270825</v>
      </c>
      <c r="D170" t="str">
        <f>Table1[[#This Row],[Name]]</f>
        <v>علي محسن عبدعلي</v>
      </c>
      <c r="E170" s="4">
        <f>'Placements 26'!F170</f>
        <v>46061</v>
      </c>
      <c r="F170" s="4" t="str">
        <f t="shared" ca="1" si="9"/>
        <v>Claimed</v>
      </c>
      <c r="G170" s="4"/>
      <c r="H170" s="4"/>
      <c r="I170" s="4">
        <v>46219</v>
      </c>
      <c r="J170">
        <f>IF(Table3[[#This Row],[Placement Fee &amp; Variables]]&gt;0,0,1)</f>
        <v>0</v>
      </c>
      <c r="K170" s="4">
        <f>Table3[[#This Row],[Joining Date]]+180</f>
        <v>46241</v>
      </c>
      <c r="L170" t="str">
        <f t="shared" ca="1" si="10"/>
        <v/>
      </c>
      <c r="M170" s="116">
        <v>46245</v>
      </c>
      <c r="N170">
        <f ca="1">IF(Table3[[#This Row],[6M Stat]]="Claimable",1,0)</f>
        <v>0</v>
      </c>
      <c r="O170" s="4">
        <f>Table3[[#This Row],[Joining Date]]+365</f>
        <v>46426</v>
      </c>
      <c r="Q170" t="str">
        <f t="shared" ca="1" si="8"/>
        <v/>
      </c>
      <c r="R170">
        <f ca="1">IF(Table3[[#This Row],[12 M Stat]]="Claimable",1,0)</f>
        <v>0</v>
      </c>
      <c r="S170">
        <f ca="1">Table3[[#This Row],[Placement claim Highlight]]+Table3[[#This Row],[Highlight rule 6M]]+Table3[[#This Row],[Highlight rule 12 M]]</f>
        <v>0</v>
      </c>
      <c r="T170" s="6">
        <f>SUM(Table3[[#This Row],[Placement Fee]:[Salary]])</f>
        <v>192.5</v>
      </c>
      <c r="U170" s="6"/>
      <c r="V170" s="6">
        <f>IF(Table1[[#This Row],[MoL]]="Yes",55,0)</f>
        <v>55</v>
      </c>
      <c r="W170" s="6">
        <f>IF(Table1[[#This Row],[Long MoL +3 Years]]="Yes",137.5,0)</f>
        <v>137.5</v>
      </c>
      <c r="X170" s="6">
        <f>IF(Table1[[#This Row],[Gender]]="Female",137.5,0)</f>
        <v>0</v>
      </c>
      <c r="Y170" s="6">
        <f>IF(Table1[[#This Row],[Education]]="Bachelors +",55,0)</f>
        <v>0</v>
      </c>
      <c r="Z170" s="6">
        <f>IF(Table1[[#This Row],[Salary]]&gt;=600,82.5,0)</f>
        <v>0</v>
      </c>
    </row>
    <row r="171" spans="1:26">
      <c r="A171" s="3">
        <f>Table1[[#This Row],[SL No.]]</f>
        <v>170</v>
      </c>
      <c r="B171" t="str">
        <f>Table1[[#This Row],[Case manager]]</f>
        <v>Malak</v>
      </c>
      <c r="C171" t="str">
        <f>Table1[[#This Row],[Ref No]]</f>
        <v>JCP/26/297993</v>
      </c>
      <c r="D171" t="str">
        <f>Table1[[#This Row],[Name]]</f>
        <v>Sondos Mohammed abdulla</v>
      </c>
      <c r="E171" s="4">
        <f>'Placements 26'!F171</f>
        <v>46215</v>
      </c>
      <c r="F171" s="4" t="str">
        <f t="shared" ca="1" si="9"/>
        <v>Claimed</v>
      </c>
      <c r="G171" s="4"/>
      <c r="H171" s="4"/>
      <c r="I171" s="4">
        <v>46219</v>
      </c>
      <c r="J171">
        <f>IF(Table3[[#This Row],[Placement Fee &amp; Variables]]&gt;0,0,1)</f>
        <v>0</v>
      </c>
      <c r="K171" s="4">
        <f>Table3[[#This Row],[Joining Date]]+180</f>
        <v>46395</v>
      </c>
      <c r="L171" t="str">
        <f t="shared" ca="1" si="10"/>
        <v/>
      </c>
      <c r="N171">
        <f ca="1">IF(Table3[[#This Row],[6M Stat]]="Claimable",1,0)</f>
        <v>0</v>
      </c>
      <c r="O171" s="4">
        <f>Table3[[#This Row],[Joining Date]]+365</f>
        <v>46580</v>
      </c>
      <c r="Q171" t="str">
        <f t="shared" ca="1" si="8"/>
        <v/>
      </c>
      <c r="R171">
        <f ca="1">IF(Table3[[#This Row],[12 M Stat]]="Claimable",1,0)</f>
        <v>0</v>
      </c>
      <c r="S171">
        <f ca="1">Table3[[#This Row],[Placement claim Highlight]]+Table3[[#This Row],[Highlight rule 6M]]+Table3[[#This Row],[Highlight rule 12 M]]</f>
        <v>0</v>
      </c>
      <c r="T171" s="6">
        <f>SUM(Table3[[#This Row],[Placement Fee]:[Salary]])</f>
        <v>192.5</v>
      </c>
      <c r="U171" s="6"/>
      <c r="V171" s="6">
        <f>IF(Table1[[#This Row],[MoL]]="Yes",55,0)</f>
        <v>0</v>
      </c>
      <c r="W171" s="6">
        <f>IF(Table1[[#This Row],[Long MoL +3 Years]]="Yes",137.5,0)</f>
        <v>0</v>
      </c>
      <c r="X171" s="6">
        <f>IF(Table1[[#This Row],[Gender]]="Female",137.5,0)</f>
        <v>137.5</v>
      </c>
      <c r="Y171" s="6">
        <f>IF(Table1[[#This Row],[Education]]="Bachelors +",55,0)</f>
        <v>55</v>
      </c>
      <c r="Z171" s="6">
        <f>IF(Table1[[#This Row],[Salary]]&gt;=600,82.5,0)</f>
        <v>0</v>
      </c>
    </row>
    <row r="172" spans="1:26">
      <c r="A172" s="3">
        <f>Table1[[#This Row],[SL No.]]</f>
        <v>171</v>
      </c>
      <c r="B172" t="str">
        <f>Table1[[#This Row],[Case manager]]</f>
        <v>Malak</v>
      </c>
      <c r="C172" t="str">
        <f>Table1[[#This Row],[Ref No]]</f>
        <v>JCP/25/206699</v>
      </c>
      <c r="D172" t="str">
        <f>Table1[[#This Row],[Name]]</f>
        <v>LAYLA HASAN ABBAS JAA MOHAMED</v>
      </c>
      <c r="E172" s="4">
        <f>'Placements 26'!F172</f>
        <v>46216</v>
      </c>
      <c r="F172" s="4" t="str">
        <f t="shared" ca="1" si="9"/>
        <v>Claimed</v>
      </c>
      <c r="G172" s="4"/>
      <c r="H172" s="4"/>
      <c r="I172" s="4">
        <v>46218</v>
      </c>
      <c r="J172">
        <f>IF(Table3[[#This Row],[Placement Fee &amp; Variables]]&gt;0,0,1)</f>
        <v>0</v>
      </c>
      <c r="K172" s="4">
        <f>Table3[[#This Row],[Joining Date]]+180</f>
        <v>46396</v>
      </c>
      <c r="L172" t="str">
        <f t="shared" ca="1" si="10"/>
        <v/>
      </c>
      <c r="N172">
        <f ca="1">IF(Table3[[#This Row],[6M Stat]]="Claimable",1,0)</f>
        <v>0</v>
      </c>
      <c r="O172" s="4">
        <f>Table3[[#This Row],[Joining Date]]+365</f>
        <v>46581</v>
      </c>
      <c r="Q172" t="str">
        <f t="shared" ca="1" si="8"/>
        <v/>
      </c>
      <c r="R172">
        <f ca="1">IF(Table3[[#This Row],[12 M Stat]]="Claimable",1,0)</f>
        <v>0</v>
      </c>
      <c r="S172">
        <f ca="1">Table3[[#This Row],[Placement claim Highlight]]+Table3[[#This Row],[Highlight rule 6M]]+Table3[[#This Row],[Highlight rule 12 M]]</f>
        <v>0</v>
      </c>
      <c r="T172" s="6">
        <f>SUM(Table3[[#This Row],[Placement Fee]:[Salary]])</f>
        <v>192.5</v>
      </c>
      <c r="U172" s="6"/>
      <c r="V172" s="6">
        <f>IF(Table1[[#This Row],[MoL]]="Yes",55,0)</f>
        <v>0</v>
      </c>
      <c r="W172" s="6">
        <f>IF(Table1[[#This Row],[Long MoL +3 Years]]="Yes",137.5,0)</f>
        <v>0</v>
      </c>
      <c r="X172" s="6">
        <f>IF(Table1[[#This Row],[Gender]]="Female",137.5,0)</f>
        <v>137.5</v>
      </c>
      <c r="Y172" s="6">
        <f>IF(Table1[[#This Row],[Education]]="Bachelors +",55,0)</f>
        <v>55</v>
      </c>
      <c r="Z172" s="6">
        <f>IF(Table1[[#This Row],[Salary]]&gt;=600,82.5,0)</f>
        <v>0</v>
      </c>
    </row>
    <row r="173" spans="1:26">
      <c r="A173" s="3">
        <f>Table1[[#This Row],[SL No.]]</f>
        <v>172</v>
      </c>
      <c r="B173" t="str">
        <f>Table1[[#This Row],[Case manager]]</f>
        <v>Meaad</v>
      </c>
      <c r="C173" t="str">
        <f>Table1[[#This Row],[Ref No]]</f>
        <v>JCP/26/320553</v>
      </c>
      <c r="D173" t="str">
        <f>Table1[[#This Row],[Name]]</f>
        <v>Zahraa Saeed Marhoon</v>
      </c>
      <c r="E173" s="4">
        <f>'Placements 26'!F173</f>
        <v>46215</v>
      </c>
      <c r="F173" s="4" t="str">
        <f t="shared" ca="1" si="9"/>
        <v>Claimed</v>
      </c>
      <c r="G173" s="4"/>
      <c r="H173" s="4"/>
      <c r="I173" s="4">
        <v>46223</v>
      </c>
      <c r="J173">
        <f>IF(Table3[[#This Row],[Placement Fee &amp; Variables]]&gt;0,0,1)</f>
        <v>0</v>
      </c>
      <c r="K173" s="4">
        <f>Table3[[#This Row],[Joining Date]]+180</f>
        <v>46395</v>
      </c>
      <c r="L173" t="str">
        <f t="shared" ca="1" si="10"/>
        <v/>
      </c>
      <c r="N173">
        <f ca="1">IF(Table3[[#This Row],[6M Stat]]="Claimable",1,0)</f>
        <v>0</v>
      </c>
      <c r="O173" s="4">
        <f>Table3[[#This Row],[Joining Date]]+365</f>
        <v>46580</v>
      </c>
      <c r="Q173" t="str">
        <f t="shared" ca="1" si="8"/>
        <v/>
      </c>
      <c r="R173">
        <f ca="1">IF(Table3[[#This Row],[12 M Stat]]="Claimable",1,0)</f>
        <v>0</v>
      </c>
      <c r="S173">
        <f ca="1">Table3[[#This Row],[Placement claim Highlight]]+Table3[[#This Row],[Highlight rule 6M]]+Table3[[#This Row],[Highlight rule 12 M]]</f>
        <v>0</v>
      </c>
      <c r="T173" s="6">
        <f>SUM(Table3[[#This Row],[Placement Fee]:[Salary]])</f>
        <v>385</v>
      </c>
      <c r="U173" s="6"/>
      <c r="V173" s="6">
        <f>IF(Table1[[#This Row],[MoL]]="Yes",55,0)</f>
        <v>55</v>
      </c>
      <c r="W173" s="6">
        <f>IF(Table1[[#This Row],[Long MoL +3 Years]]="Yes",137.5,0)</f>
        <v>137.5</v>
      </c>
      <c r="X173" s="6">
        <f>IF(Table1[[#This Row],[Gender]]="Female",137.5,0)</f>
        <v>137.5</v>
      </c>
      <c r="Y173" s="6">
        <f>IF(Table1[[#This Row],[Education]]="Bachelors +",55,0)</f>
        <v>55</v>
      </c>
      <c r="Z173" s="6">
        <f>IF(Table1[[#This Row],[Salary]]&gt;=600,82.5,0)</f>
        <v>0</v>
      </c>
    </row>
    <row r="174" spans="1:26">
      <c r="A174" s="3">
        <f>Table1[[#This Row],[SL No.]]</f>
        <v>173</v>
      </c>
      <c r="B174" t="str">
        <f>Table1[[#This Row],[Case manager]]</f>
        <v>Dina</v>
      </c>
      <c r="C174" t="str">
        <f>Table1[[#This Row],[Ref No]]</f>
        <v>JCP/26/319200</v>
      </c>
      <c r="D174" t="str">
        <f>Table1[[#This Row],[Name]]</f>
        <v>MOHAMED EBRAHIM ALI AHMED HASAN</v>
      </c>
      <c r="E174" s="4">
        <f>'Placements 26'!F174</f>
        <v>46216</v>
      </c>
      <c r="F174" s="4" t="str">
        <f t="shared" ca="1" si="9"/>
        <v>Claimed</v>
      </c>
      <c r="G174" s="4"/>
      <c r="H174" s="4"/>
      <c r="I174" s="4">
        <v>46218</v>
      </c>
      <c r="J174">
        <f>IF(Table3[[#This Row],[Placement Fee &amp; Variables]]&gt;0,0,1)</f>
        <v>0</v>
      </c>
      <c r="K174" s="4">
        <f>Table3[[#This Row],[Joining Date]]+180</f>
        <v>46396</v>
      </c>
      <c r="L174" t="str">
        <f t="shared" ca="1" si="10"/>
        <v/>
      </c>
      <c r="N174">
        <f ca="1">IF(Table3[[#This Row],[6M Stat]]="Claimable",1,0)</f>
        <v>0</v>
      </c>
      <c r="O174" s="4">
        <f>Table3[[#This Row],[Joining Date]]+365</f>
        <v>46581</v>
      </c>
      <c r="Q174" t="str">
        <f t="shared" ca="1" si="8"/>
        <v/>
      </c>
      <c r="R174">
        <f ca="1">IF(Table3[[#This Row],[12 M Stat]]="Claimable",1,0)</f>
        <v>0</v>
      </c>
      <c r="S174">
        <f ca="1">Table3[[#This Row],[Placement claim Highlight]]+Table3[[#This Row],[Highlight rule 6M]]+Table3[[#This Row],[Highlight rule 12 M]]</f>
        <v>0</v>
      </c>
      <c r="T174" s="6">
        <f>SUM(Table3[[#This Row],[Placement Fee]:[Salary]])</f>
        <v>0</v>
      </c>
      <c r="U174" s="6"/>
      <c r="V174" s="6">
        <f>IF(Table1[[#This Row],[MoL]]="Yes",55,0)</f>
        <v>0</v>
      </c>
      <c r="W174" s="6">
        <f>IF(Table1[[#This Row],[Long MoL +3 Years]]="Yes",137.5,0)</f>
        <v>0</v>
      </c>
      <c r="X174" s="6">
        <f>IF(Table1[[#This Row],[Gender]]="Female",137.5,0)</f>
        <v>0</v>
      </c>
      <c r="Y174" s="6">
        <f>IF(Table1[[#This Row],[Education]]="Bachelors +",55,0)</f>
        <v>0</v>
      </c>
      <c r="Z174" s="6">
        <f>IF(Table1[[#This Row],[Salary]]&gt;=600,82.5,0)</f>
        <v>0</v>
      </c>
    </row>
    <row r="175" spans="1:26">
      <c r="A175" s="3">
        <f>Table1[[#This Row],[SL No.]]</f>
        <v>174</v>
      </c>
      <c r="B175" t="str">
        <f>Table1[[#This Row],[Case manager]]</f>
        <v>Malak</v>
      </c>
      <c r="C175" t="str">
        <f>Table1[[#This Row],[Ref No]]</f>
        <v>JCP/26/319243</v>
      </c>
      <c r="D175" t="str">
        <f>Table1[[#This Row],[Name]]</f>
        <v>KHALIL AHMED ABDULLA ALHANNAN</v>
      </c>
      <c r="E175" s="4">
        <f>'Placements 26'!F175</f>
        <v>46209</v>
      </c>
      <c r="F175" s="4" t="str">
        <f t="shared" ca="1" si="9"/>
        <v>Claimed</v>
      </c>
      <c r="G175" s="4"/>
      <c r="H175" s="4"/>
      <c r="I175" s="4">
        <v>46225</v>
      </c>
      <c r="J175">
        <f>IF(Table3[[#This Row],[Placement Fee &amp; Variables]]&gt;0,0,1)</f>
        <v>0</v>
      </c>
      <c r="K175" s="4">
        <f>Table3[[#This Row],[Joining Date]]+180</f>
        <v>46389</v>
      </c>
      <c r="L175" t="str">
        <f t="shared" ca="1" si="10"/>
        <v/>
      </c>
      <c r="N175">
        <f ca="1">IF(Table3[[#This Row],[6M Stat]]="Claimable",1,0)</f>
        <v>0</v>
      </c>
      <c r="O175" s="4">
        <f>Table3[[#This Row],[Joining Date]]+365</f>
        <v>46574</v>
      </c>
      <c r="Q175" t="str">
        <f t="shared" ca="1" si="8"/>
        <v/>
      </c>
      <c r="R175">
        <f ca="1">IF(Table3[[#This Row],[12 M Stat]]="Claimable",1,0)</f>
        <v>0</v>
      </c>
      <c r="S175">
        <f ca="1">Table3[[#This Row],[Placement claim Highlight]]+Table3[[#This Row],[Highlight rule 6M]]+Table3[[#This Row],[Highlight rule 12 M]]</f>
        <v>0</v>
      </c>
      <c r="T175" s="6">
        <f>SUM(Table3[[#This Row],[Placement Fee]:[Salary]])</f>
        <v>192.5</v>
      </c>
      <c r="U175" s="6"/>
      <c r="V175" s="6">
        <f>IF(Table1[[#This Row],[MoL]]="Yes",55,0)</f>
        <v>55</v>
      </c>
      <c r="W175" s="6">
        <f>IF(Table1[[#This Row],[Long MoL +3 Years]]="Yes",137.5,0)</f>
        <v>137.5</v>
      </c>
      <c r="X175" s="6">
        <f>IF(Table1[[#This Row],[Gender]]="Female",137.5,0)</f>
        <v>0</v>
      </c>
      <c r="Y175" s="6">
        <f>IF(Table1[[#This Row],[Education]]="Bachelors +",55,0)</f>
        <v>0</v>
      </c>
      <c r="Z175" s="6">
        <f>IF(Table1[[#This Row],[Salary]]&gt;=600,82.5,0)</f>
        <v>0</v>
      </c>
    </row>
    <row r="176" spans="1:26">
      <c r="A176" s="3">
        <f>Table1[[#This Row],[SL No.]]</f>
        <v>175</v>
      </c>
      <c r="B176" t="str">
        <f>Table1[[#This Row],[Case manager]]</f>
        <v>Husain</v>
      </c>
      <c r="C176" t="str">
        <f>Table1[[#This Row],[Ref No]]</f>
        <v>JCP/26/320954</v>
      </c>
      <c r="D176" t="str">
        <f>Table1[[#This Row],[Name]]</f>
        <v>Zahra  Yusuf Asadalla</v>
      </c>
      <c r="E176" s="4">
        <f>'Placements 26'!F176</f>
        <v>46222</v>
      </c>
      <c r="F176" s="4" t="str">
        <f t="shared" ca="1" si="9"/>
        <v>Claimed</v>
      </c>
      <c r="G176" s="4"/>
      <c r="H176" s="4"/>
      <c r="I176" s="4">
        <v>46225</v>
      </c>
      <c r="J176">
        <f>IF(Table3[[#This Row],[Placement Fee &amp; Variables]]&gt;0,0,1)</f>
        <v>0</v>
      </c>
      <c r="K176" s="4">
        <f>Table3[[#This Row],[Joining Date]]+180</f>
        <v>46402</v>
      </c>
      <c r="L176" t="str">
        <f t="shared" ca="1" si="10"/>
        <v/>
      </c>
      <c r="N176">
        <f ca="1">IF(Table3[[#This Row],[6M Stat]]="Claimable",1,0)</f>
        <v>0</v>
      </c>
      <c r="O176" s="4">
        <f>Table3[[#This Row],[Joining Date]]+365</f>
        <v>46587</v>
      </c>
      <c r="Q176" t="str">
        <f t="shared" ca="1" si="8"/>
        <v/>
      </c>
      <c r="R176">
        <f ca="1">IF(Table3[[#This Row],[12 M Stat]]="Claimable",1,0)</f>
        <v>0</v>
      </c>
      <c r="S176">
        <f ca="1">Table3[[#This Row],[Placement claim Highlight]]+Table3[[#This Row],[Highlight rule 6M]]+Table3[[#This Row],[Highlight rule 12 M]]</f>
        <v>0</v>
      </c>
      <c r="T176" s="6">
        <f>SUM(Table3[[#This Row],[Placement Fee]:[Salary]])</f>
        <v>330</v>
      </c>
      <c r="U176" s="6"/>
      <c r="V176" s="6">
        <f>IF(Table1[[#This Row],[MoL]]="Yes",55,0)</f>
        <v>55</v>
      </c>
      <c r="W176" s="6">
        <f>IF(Table1[[#This Row],[Long MoL +3 Years]]="Yes",137.5,0)</f>
        <v>137.5</v>
      </c>
      <c r="X176" s="6">
        <f>IF(Table1[[#This Row],[Gender]]="Female",137.5,0)</f>
        <v>0</v>
      </c>
      <c r="Y176" s="6">
        <f>IF(Table1[[#This Row],[Education]]="Bachelors +",55,0)</f>
        <v>55</v>
      </c>
      <c r="Z176" s="6">
        <f>IF(Table1[[#This Row],[Salary]]&gt;=600,82.5,0)</f>
        <v>82.5</v>
      </c>
    </row>
    <row r="177" spans="1:26">
      <c r="A177" s="3">
        <f>Table1[[#This Row],[SL No.]]</f>
        <v>176</v>
      </c>
      <c r="B177" t="str">
        <f>Table1[[#This Row],[Case manager]]</f>
        <v>Meaad</v>
      </c>
      <c r="C177" t="str">
        <f>Table1[[#This Row],[Ref No]]</f>
        <v>JCP/25/165664</v>
      </c>
      <c r="D177" t="str">
        <f>Table1[[#This Row],[Name]]</f>
        <v>ABDULRAHMAN ADEL ABDULRAHMAN TAQI</v>
      </c>
      <c r="E177" s="4">
        <f>'Placements 26'!F177</f>
        <v>46582</v>
      </c>
      <c r="F177" s="4" t="str">
        <f t="shared" ca="1" si="9"/>
        <v>Claimed</v>
      </c>
      <c r="G177" s="4"/>
      <c r="H177" s="4"/>
      <c r="I177" s="4">
        <v>46226</v>
      </c>
      <c r="J177">
        <f>IF(Table3[[#This Row],[Placement Fee &amp; Variables]]&gt;0,0,1)</f>
        <v>0</v>
      </c>
      <c r="K177" s="4">
        <f>Table3[[#This Row],[Joining Date]]+180</f>
        <v>46762</v>
      </c>
      <c r="L177" t="str">
        <f t="shared" ca="1" si="10"/>
        <v/>
      </c>
      <c r="N177">
        <f ca="1">IF(Table3[[#This Row],[6M Stat]]="Claimable",1,0)</f>
        <v>0</v>
      </c>
      <c r="O177" s="4">
        <f>Table3[[#This Row],[Joining Date]]+365</f>
        <v>46947</v>
      </c>
      <c r="Q177" t="str">
        <f t="shared" ca="1" si="8"/>
        <v/>
      </c>
      <c r="R177">
        <f ca="1">IF(Table3[[#This Row],[12 M Stat]]="Claimable",1,0)</f>
        <v>0</v>
      </c>
      <c r="S177">
        <f ca="1">Table3[[#This Row],[Placement claim Highlight]]+Table3[[#This Row],[Highlight rule 6M]]+Table3[[#This Row],[Highlight rule 12 M]]</f>
        <v>0</v>
      </c>
      <c r="T177" s="6">
        <f>SUM(Table3[[#This Row],[Placement Fee]:[Salary]])</f>
        <v>330</v>
      </c>
      <c r="U177" s="6"/>
      <c r="V177" s="6">
        <f>IF(Table1[[#This Row],[MoL]]="Yes",55,0)</f>
        <v>55</v>
      </c>
      <c r="W177" s="6">
        <f>IF(Table1[[#This Row],[Long MoL +3 Years]]="Yes",137.5,0)</f>
        <v>137.5</v>
      </c>
      <c r="X177" s="6">
        <f>IF(Table1[[#This Row],[Gender]]="Female",137.5,0)</f>
        <v>0</v>
      </c>
      <c r="Y177" s="6">
        <f>IF(Table1[[#This Row],[Education]]="Bachelors +",55,0)</f>
        <v>55</v>
      </c>
      <c r="Z177" s="6">
        <f>IF(Table1[[#This Row],[Salary]]&gt;=600,82.5,0)</f>
        <v>82.5</v>
      </c>
    </row>
    <row r="178" spans="1:26">
      <c r="A178" s="3">
        <f>Table1[[#This Row],[SL No.]]</f>
        <v>177</v>
      </c>
      <c r="B178" t="str">
        <f>Table1[[#This Row],[Case manager]]</f>
        <v>Meaad</v>
      </c>
      <c r="C178" t="str">
        <f>Table1[[#This Row],[Ref No]]</f>
        <v>JCP/26/321688</v>
      </c>
      <c r="D178" t="str">
        <f>Table1[[#This Row],[Name]]</f>
        <v>MOHAMMAD WALEED MOHAMMAD ABBAS MOHAMMAD</v>
      </c>
      <c r="E178" s="4">
        <f>'Placements 26'!F178</f>
        <v>46594</v>
      </c>
      <c r="F178" s="4" t="str">
        <f t="shared" ca="1" si="9"/>
        <v>Claimed</v>
      </c>
      <c r="G178" s="4"/>
      <c r="H178" s="4"/>
      <c r="I178" s="4">
        <v>46230</v>
      </c>
      <c r="J178">
        <f>IF(Table3[[#This Row],[Placement Fee &amp; Variables]]&gt;0,0,1)</f>
        <v>0</v>
      </c>
      <c r="K178" s="4">
        <f>Table3[[#This Row],[Joining Date]]+180</f>
        <v>46774</v>
      </c>
      <c r="L178" t="str">
        <f t="shared" ca="1" si="10"/>
        <v/>
      </c>
      <c r="N178">
        <f ca="1">IF(Table3[[#This Row],[6M Stat]]="Claimable",1,0)</f>
        <v>0</v>
      </c>
      <c r="O178" s="4">
        <f>Table3[[#This Row],[Joining Date]]+365</f>
        <v>46959</v>
      </c>
      <c r="Q178" t="str">
        <f t="shared" ca="1" si="8"/>
        <v/>
      </c>
      <c r="R178">
        <f ca="1">IF(Table3[[#This Row],[12 M Stat]]="Claimable",1,0)</f>
        <v>0</v>
      </c>
      <c r="S178">
        <f ca="1">Table3[[#This Row],[Placement claim Highlight]]+Table3[[#This Row],[Highlight rule 6M]]+Table3[[#This Row],[Highlight rule 12 M]]</f>
        <v>0</v>
      </c>
      <c r="T178" s="6">
        <f>SUM(Table3[[#This Row],[Placement Fee]:[Salary]])</f>
        <v>137.5</v>
      </c>
      <c r="U178" s="6"/>
      <c r="V178" s="6">
        <f>IF(Table1[[#This Row],[MoL]]="Yes",55,0)</f>
        <v>0</v>
      </c>
      <c r="W178" s="6">
        <f>IF(Table1[[#This Row],[Long MoL +3 Years]]="Yes",137.5,0)</f>
        <v>0</v>
      </c>
      <c r="X178" s="6">
        <f>IF(Table1[[#This Row],[Gender]]="Female",137.5,0)</f>
        <v>0</v>
      </c>
      <c r="Y178" s="6">
        <f>IF(Table1[[#This Row],[Education]]="Bachelors +",55,0)</f>
        <v>55</v>
      </c>
      <c r="Z178" s="6">
        <f>IF(Table1[[#This Row],[Salary]]&gt;=600,82.5,0)</f>
        <v>82.5</v>
      </c>
    </row>
    <row r="179" spans="1:26">
      <c r="A179" s="3">
        <f>Table1[[#This Row],[SL No.]]</f>
        <v>178</v>
      </c>
      <c r="B179" t="str">
        <f>Table1[[#This Row],[Case manager]]</f>
        <v>Husain</v>
      </c>
      <c r="C179" t="str">
        <f>Table1[[#This Row],[Ref No]]</f>
        <v>JCP/26/283826</v>
      </c>
      <c r="D179" t="str">
        <f>Table1[[#This Row],[Name]]</f>
        <v xml:space="preserve"> Ali Husain  Seroor</v>
      </c>
      <c r="E179" s="4">
        <f>'Placements 26'!F179</f>
        <v>46050</v>
      </c>
      <c r="F179" s="4" t="str">
        <f t="shared" ca="1" si="9"/>
        <v>Claimable</v>
      </c>
      <c r="G179" s="4"/>
      <c r="H179" s="4"/>
      <c r="I179" s="4"/>
      <c r="J179">
        <f>IF(Table3[[#This Row],[Placement Fee &amp; Variables]]&gt;0,0,1)</f>
        <v>1</v>
      </c>
      <c r="K179" s="4">
        <f>Table3[[#This Row],[Joining Date]]+180</f>
        <v>46230</v>
      </c>
      <c r="L179" t="str">
        <f t="shared" ca="1" si="10"/>
        <v>Claimable</v>
      </c>
      <c r="N179">
        <f ca="1">IF(Table3[[#This Row],[6M Stat]]="Claimable",1,0)</f>
        <v>1</v>
      </c>
      <c r="O179" s="4">
        <f>Table3[[#This Row],[Joining Date]]+365</f>
        <v>46415</v>
      </c>
      <c r="Q179" t="str">
        <f t="shared" ca="1" si="8"/>
        <v/>
      </c>
      <c r="R179">
        <f ca="1">IF(Table3[[#This Row],[12 M Stat]]="Claimable",1,0)</f>
        <v>0</v>
      </c>
      <c r="S179">
        <f ca="1">Table3[[#This Row],[Placement claim Highlight]]+Table3[[#This Row],[Highlight rule 6M]]+Table3[[#This Row],[Highlight rule 12 M]]</f>
        <v>2</v>
      </c>
      <c r="T179" s="6">
        <f>SUM(Table3[[#This Row],[Placement Fee]:[Salary]])</f>
        <v>192.5</v>
      </c>
      <c r="U179" s="6"/>
      <c r="V179" s="6">
        <f>IF(Table1[[#This Row],[MoL]]="Yes",55,0)</f>
        <v>55</v>
      </c>
      <c r="W179" s="6">
        <f>IF(Table1[[#This Row],[Long MoL +3 Years]]="Yes",137.5,0)</f>
        <v>137.5</v>
      </c>
      <c r="X179" s="6">
        <f>IF(Table1[[#This Row],[Gender]]="Female",137.5,0)</f>
        <v>0</v>
      </c>
      <c r="Y179" s="6">
        <f>IF(Table1[[#This Row],[Education]]="Bachelors +",55,0)</f>
        <v>0</v>
      </c>
      <c r="Z179" s="6">
        <f>IF(Table1[[#This Row],[Salary]]&gt;=600,82.5,0)</f>
        <v>0</v>
      </c>
    </row>
    <row r="180" spans="1:26">
      <c r="A180" s="3">
        <f>Table1[[#This Row],[SL No.]]</f>
        <v>179</v>
      </c>
      <c r="B180" t="str">
        <f>Table1[[#This Row],[Case manager]]</f>
        <v>Meaad</v>
      </c>
      <c r="C180" t="str">
        <f>Table1[[#This Row],[Ref No]]</f>
        <v>JCP/26/323823</v>
      </c>
      <c r="D180" t="str">
        <f>Table1[[#This Row],[Name]]</f>
        <v>Maryam Khalid</v>
      </c>
      <c r="E180" s="4">
        <f>'Placements 26'!F180</f>
        <v>46224</v>
      </c>
      <c r="F180" s="4" t="str">
        <f t="shared" ca="1" si="9"/>
        <v>Claimed</v>
      </c>
      <c r="G180" s="4"/>
      <c r="H180" s="4"/>
      <c r="I180" s="4">
        <v>46231</v>
      </c>
      <c r="J180">
        <f>IF(Table3[[#This Row],[Placement Fee &amp; Variables]]&gt;0,0,1)</f>
        <v>0</v>
      </c>
      <c r="K180" s="4">
        <f>Table3[[#This Row],[Joining Date]]+180</f>
        <v>46404</v>
      </c>
      <c r="L180" t="str">
        <f t="shared" ca="1" si="10"/>
        <v/>
      </c>
      <c r="N180">
        <f ca="1">IF(Table3[[#This Row],[6M Stat]]="Claimable",1,0)</f>
        <v>0</v>
      </c>
      <c r="O180" s="4">
        <f>Table3[[#This Row],[Joining Date]]+365</f>
        <v>46589</v>
      </c>
      <c r="Q180" t="str">
        <f t="shared" ca="1" si="8"/>
        <v/>
      </c>
      <c r="R180">
        <f ca="1">IF(Table3[[#This Row],[12 M Stat]]="Claimable",1,0)</f>
        <v>0</v>
      </c>
      <c r="S180">
        <f ca="1">Table3[[#This Row],[Placement claim Highlight]]+Table3[[#This Row],[Highlight rule 6M]]+Table3[[#This Row],[Highlight rule 12 M]]</f>
        <v>0</v>
      </c>
      <c r="T180" s="6">
        <f>SUM(Table3[[#This Row],[Placement Fee]:[Salary]])</f>
        <v>385</v>
      </c>
      <c r="U180" s="6"/>
      <c r="V180" s="6">
        <f>IF(Table1[[#This Row],[MoL]]="Yes",55,0)</f>
        <v>55</v>
      </c>
      <c r="W180" s="6">
        <f>IF(Table1[[#This Row],[Long MoL +3 Years]]="Yes",137.5,0)</f>
        <v>137.5</v>
      </c>
      <c r="X180" s="6">
        <f>IF(Table1[[#This Row],[Gender]]="Female",137.5,0)</f>
        <v>137.5</v>
      </c>
      <c r="Y180" s="6">
        <f>IF(Table1[[#This Row],[Education]]="Bachelors +",55,0)</f>
        <v>55</v>
      </c>
      <c r="Z180" s="6">
        <f>IF(Table1[[#This Row],[Salary]]&gt;=600,82.5,0)</f>
        <v>0</v>
      </c>
    </row>
    <row r="181" spans="1:26">
      <c r="A181" s="3">
        <f>Table1[[#This Row],[SL No.]]</f>
        <v>180</v>
      </c>
      <c r="B181" t="str">
        <f>Table1[[#This Row],[Case manager]]</f>
        <v>Zainab Mattar</v>
      </c>
      <c r="C181" t="str">
        <f>Table1[[#This Row],[Ref No]]</f>
        <v>JCP/26/317603</v>
      </c>
      <c r="D181" t="str">
        <f>Table1[[#This Row],[Name]]</f>
        <v>mohammed yousuf anwar</v>
      </c>
      <c r="E181" s="4">
        <f>'Placements 26'!F181</f>
        <v>46222</v>
      </c>
      <c r="F181" s="4" t="str">
        <f t="shared" ca="1" si="9"/>
        <v>Claimed</v>
      </c>
      <c r="G181" s="4"/>
      <c r="H181" s="4"/>
      <c r="I181" s="4">
        <v>46225</v>
      </c>
      <c r="J181">
        <f>IF(Table3[[#This Row],[Placement Fee &amp; Variables]]&gt;0,0,1)</f>
        <v>0</v>
      </c>
      <c r="K181" s="4">
        <f>Table3[[#This Row],[Joining Date]]+180</f>
        <v>46402</v>
      </c>
      <c r="L181" t="str">
        <f t="shared" ca="1" si="10"/>
        <v/>
      </c>
      <c r="N181">
        <f ca="1">IF(Table3[[#This Row],[6M Stat]]="Claimable",1,0)</f>
        <v>0</v>
      </c>
      <c r="O181" s="4">
        <f>Table3[[#This Row],[Joining Date]]+365</f>
        <v>46587</v>
      </c>
      <c r="Q181" t="str">
        <f t="shared" ca="1" si="8"/>
        <v/>
      </c>
      <c r="R181">
        <f ca="1">IF(Table3[[#This Row],[12 M Stat]]="Claimable",1,0)</f>
        <v>0</v>
      </c>
      <c r="S181">
        <f ca="1">Table3[[#This Row],[Placement claim Highlight]]+Table3[[#This Row],[Highlight rule 6M]]+Table3[[#This Row],[Highlight rule 12 M]]</f>
        <v>0</v>
      </c>
      <c r="T181" s="6">
        <f>SUM(Table3[[#This Row],[Placement Fee]:[Salary]])</f>
        <v>137.5</v>
      </c>
      <c r="U181" s="6"/>
      <c r="V181" s="6">
        <f>IF(Table1[[#This Row],[MoL]]="Yes",55,0)</f>
        <v>55</v>
      </c>
      <c r="W181" s="6">
        <f>IF(Table1[[#This Row],[Long MoL +3 Years]]="Yes",137.5,0)</f>
        <v>0</v>
      </c>
      <c r="X181" s="6">
        <f>IF(Table1[[#This Row],[Gender]]="Female",137.5,0)</f>
        <v>0</v>
      </c>
      <c r="Y181" s="6">
        <f>IF(Table1[[#This Row],[Education]]="Bachelors +",55,0)</f>
        <v>0</v>
      </c>
      <c r="Z181" s="6">
        <f>IF(Table1[[#This Row],[Salary]]&gt;=600,82.5,0)</f>
        <v>82.5</v>
      </c>
    </row>
    <row r="182" spans="1:26">
      <c r="A182" s="3">
        <f>Table1[[#This Row],[SL No.]]</f>
        <v>181</v>
      </c>
      <c r="B182" t="str">
        <f>Table1[[#This Row],[Case manager]]</f>
        <v>Meaad</v>
      </c>
      <c r="C182" t="str">
        <f>Table1[[#This Row],[Ref No]]</f>
        <v>JCP/26/324085</v>
      </c>
      <c r="D182" t="str">
        <f>Table1[[#This Row],[Name]]</f>
        <v>يوسف فاضل زاير</v>
      </c>
      <c r="E182" s="4">
        <f>'Placements 26'!F182</f>
        <v>46231</v>
      </c>
      <c r="F182" s="4" t="str">
        <f t="shared" ca="1" si="9"/>
        <v>Claimed</v>
      </c>
      <c r="G182" s="4"/>
      <c r="H182" s="4"/>
      <c r="I182" s="4">
        <v>46231</v>
      </c>
      <c r="J182">
        <f>IF(Table3[[#This Row],[Placement Fee &amp; Variables]]&gt;0,0,1)</f>
        <v>0</v>
      </c>
      <c r="K182" s="4">
        <f>Table3[[#This Row],[Joining Date]]+180</f>
        <v>46411</v>
      </c>
      <c r="L182" t="str">
        <f t="shared" ca="1" si="10"/>
        <v/>
      </c>
      <c r="N182">
        <f ca="1">IF(Table3[[#This Row],[6M Stat]]="Claimable",1,0)</f>
        <v>0</v>
      </c>
      <c r="O182" s="4">
        <f>Table3[[#This Row],[Joining Date]]+365</f>
        <v>46596</v>
      </c>
      <c r="Q182" t="str">
        <f t="shared" ca="1" si="8"/>
        <v/>
      </c>
      <c r="R182">
        <f ca="1">IF(Table3[[#This Row],[12 M Stat]]="Claimable",1,0)</f>
        <v>0</v>
      </c>
      <c r="S182">
        <f ca="1">Table3[[#This Row],[Placement claim Highlight]]+Table3[[#This Row],[Highlight rule 6M]]+Table3[[#This Row],[Highlight rule 12 M]]</f>
        <v>0</v>
      </c>
      <c r="T182" s="6">
        <f>SUM(Table3[[#This Row],[Placement Fee]:[Salary]])</f>
        <v>192.5</v>
      </c>
      <c r="U182" s="6"/>
      <c r="V182" s="6">
        <f>IF(Table1[[#This Row],[MoL]]="Yes",55,0)</f>
        <v>55</v>
      </c>
      <c r="W182" s="6">
        <f>IF(Table1[[#This Row],[Long MoL +3 Years]]="Yes",137.5,0)</f>
        <v>0</v>
      </c>
      <c r="X182" s="6">
        <f>IF(Table1[[#This Row],[Gender]]="Female",137.5,0)</f>
        <v>0</v>
      </c>
      <c r="Y182" s="6">
        <f>IF(Table1[[#This Row],[Education]]="Bachelors +",55,0)</f>
        <v>55</v>
      </c>
      <c r="Z182" s="6">
        <f>IF(Table1[[#This Row],[Salary]]&gt;=600,82.5,0)</f>
        <v>82.5</v>
      </c>
    </row>
    <row r="183" spans="1:26">
      <c r="A183" s="3">
        <f>Table1[[#This Row],[SL No.]]</f>
        <v>182</v>
      </c>
      <c r="B183" t="str">
        <f>Table1[[#This Row],[Case manager]]</f>
        <v>Malak</v>
      </c>
      <c r="C183" t="str">
        <f>Table1[[#This Row],[Ref No]]</f>
        <v>JCP/26/325052</v>
      </c>
      <c r="D183" t="str">
        <f>Table1[[#This Row],[Name]]</f>
        <v>Abdulla Jameel Ahmed</v>
      </c>
      <c r="E183" s="4">
        <f>'Placements 26'!F183</f>
        <v>46231</v>
      </c>
      <c r="F183" s="4" t="str">
        <f t="shared" ca="1" si="9"/>
        <v>Claimed</v>
      </c>
      <c r="G183" s="4"/>
      <c r="H183" s="4"/>
      <c r="I183" s="4">
        <v>46233</v>
      </c>
      <c r="J183">
        <f>IF(Table3[[#This Row],[Placement Fee &amp; Variables]]&gt;0,0,1)</f>
        <v>0</v>
      </c>
      <c r="K183" s="4">
        <f>Table3[[#This Row],[Joining Date]]+180</f>
        <v>46411</v>
      </c>
      <c r="L183" t="str">
        <f t="shared" ca="1" si="10"/>
        <v/>
      </c>
      <c r="N183">
        <f ca="1">IF(Table3[[#This Row],[6M Stat]]="Claimable",1,0)</f>
        <v>0</v>
      </c>
      <c r="O183" s="4">
        <f>Table3[[#This Row],[Joining Date]]+365</f>
        <v>46596</v>
      </c>
      <c r="Q183" t="str">
        <f t="shared" ca="1" si="8"/>
        <v/>
      </c>
      <c r="R183">
        <f ca="1">IF(Table3[[#This Row],[12 M Stat]]="Claimable",1,0)</f>
        <v>0</v>
      </c>
      <c r="S183">
        <f ca="1">Table3[[#This Row],[Placement claim Highlight]]+Table3[[#This Row],[Highlight rule 6M]]+Table3[[#This Row],[Highlight rule 12 M]]</f>
        <v>0</v>
      </c>
      <c r="T183" s="6">
        <f>SUM(Table3[[#This Row],[Placement Fee]:[Salary]])</f>
        <v>55</v>
      </c>
      <c r="U183" s="6"/>
      <c r="V183" s="6">
        <f>IF(Table1[[#This Row],[MoL]]="Yes",55,0)</f>
        <v>55</v>
      </c>
      <c r="W183" s="6">
        <f>IF(Table1[[#This Row],[Long MoL +3 Years]]="Yes",137.5,0)</f>
        <v>0</v>
      </c>
      <c r="X183" s="6">
        <f>IF(Table1[[#This Row],[Gender]]="Female",137.5,0)</f>
        <v>0</v>
      </c>
      <c r="Y183" s="6">
        <f>IF(Table1[[#This Row],[Education]]="Bachelors +",55,0)</f>
        <v>0</v>
      </c>
      <c r="Z183" s="6">
        <f>IF(Table1[[#This Row],[Salary]]&gt;=600,82.5,0)</f>
        <v>0</v>
      </c>
    </row>
    <row r="184" spans="1:26">
      <c r="A184" s="3">
        <f>Table1[[#This Row],[SL No.]]</f>
        <v>183</v>
      </c>
      <c r="B184" t="str">
        <f>Table1[[#This Row],[Case manager]]</f>
        <v>Malak</v>
      </c>
      <c r="C184" t="str">
        <f>Table1[[#This Row],[Ref No]]</f>
        <v>JCP/25/247612</v>
      </c>
      <c r="D184" t="str">
        <f>Table1[[#This Row],[Name]]</f>
        <v>amina mohamed ali hasan</v>
      </c>
      <c r="E184" s="4">
        <f>'Placements 26'!F184</f>
        <v>46236</v>
      </c>
      <c r="F184" s="4" t="str">
        <f t="shared" ca="1" si="9"/>
        <v>Claimed</v>
      </c>
      <c r="G184" s="4"/>
      <c r="H184" s="4"/>
      <c r="I184" s="44">
        <v>46238</v>
      </c>
      <c r="J184">
        <f>IF(Table3[[#This Row],[Placement Fee &amp; Variables]]&gt;0,0,1)</f>
        <v>0</v>
      </c>
      <c r="K184" s="4">
        <f>Table3[[#This Row],[Joining Date]]+180</f>
        <v>46416</v>
      </c>
      <c r="L184" t="str">
        <f t="shared" ca="1" si="10"/>
        <v/>
      </c>
      <c r="N184">
        <f ca="1">IF(Table3[[#This Row],[6M Stat]]="Claimable",1,0)</f>
        <v>0</v>
      </c>
      <c r="O184" s="4">
        <f>Table3[[#This Row],[Joining Date]]+365</f>
        <v>46601</v>
      </c>
      <c r="Q184" t="str">
        <f t="shared" ca="1" si="8"/>
        <v/>
      </c>
      <c r="R184">
        <f ca="1">IF(Table3[[#This Row],[12 M Stat]]="Claimable",1,0)</f>
        <v>0</v>
      </c>
      <c r="S184">
        <f ca="1">Table3[[#This Row],[Placement claim Highlight]]+Table3[[#This Row],[Highlight rule 6M]]+Table3[[#This Row],[Highlight rule 12 M]]</f>
        <v>0</v>
      </c>
      <c r="T184" s="6">
        <f>SUM(Table3[[#This Row],[Placement Fee]:[Salary]])</f>
        <v>330</v>
      </c>
      <c r="U184" s="6"/>
      <c r="V184" s="6">
        <f>IF(Table1[[#This Row],[MoL]]="Yes",55,0)</f>
        <v>55</v>
      </c>
      <c r="W184" s="6">
        <f>IF(Table1[[#This Row],[Long MoL +3 Years]]="Yes",137.5,0)</f>
        <v>137.5</v>
      </c>
      <c r="X184" s="6">
        <f>IF(Table1[[#This Row],[Gender]]="Female",137.5,0)</f>
        <v>137.5</v>
      </c>
      <c r="Y184" s="6">
        <f>IF(Table1[[#This Row],[Education]]="Bachelors +",55,0)</f>
        <v>0</v>
      </c>
      <c r="Z184" s="6">
        <f>IF(Table1[[#This Row],[Salary]]&gt;=600,82.5,0)</f>
        <v>0</v>
      </c>
    </row>
    <row r="185" spans="1:26">
      <c r="A185" s="3">
        <f>Table1[[#This Row],[SL No.]]</f>
        <v>184</v>
      </c>
      <c r="B185" t="str">
        <f>Table1[[#This Row],[Case manager]]</f>
        <v>Husain</v>
      </c>
      <c r="C185" t="str">
        <f>Table1[[#This Row],[Ref No]]</f>
        <v>JCP/26/315869</v>
      </c>
      <c r="D185" t="str">
        <f>Table1[[#This Row],[Name]]</f>
        <v>Zahraa Hussain Ali</v>
      </c>
      <c r="E185" s="4">
        <f>'Placements 26'!F185</f>
        <v>46235</v>
      </c>
      <c r="F185" s="4" t="str">
        <f t="shared" ca="1" si="9"/>
        <v>Claimed</v>
      </c>
      <c r="G185" s="4"/>
      <c r="H185" s="4"/>
      <c r="I185" s="44">
        <v>46238</v>
      </c>
      <c r="J185">
        <f>IF(Table3[[#This Row],[Placement Fee &amp; Variables]]&gt;0,0,1)</f>
        <v>0</v>
      </c>
      <c r="K185" s="4">
        <f>Table3[[#This Row],[Joining Date]]+180</f>
        <v>46415</v>
      </c>
      <c r="L185" t="str">
        <f t="shared" ca="1" si="10"/>
        <v/>
      </c>
      <c r="N185">
        <f ca="1">IF(Table3[[#This Row],[6M Stat]]="Claimable",1,0)</f>
        <v>0</v>
      </c>
      <c r="O185" s="4">
        <f>Table3[[#This Row],[Joining Date]]+365</f>
        <v>46600</v>
      </c>
      <c r="Q185" t="str">
        <f t="shared" ca="1" si="8"/>
        <v/>
      </c>
      <c r="R185">
        <f ca="1">IF(Table3[[#This Row],[12 M Stat]]="Claimable",1,0)</f>
        <v>0</v>
      </c>
      <c r="S185">
        <f ca="1">Table3[[#This Row],[Placement claim Highlight]]+Table3[[#This Row],[Highlight rule 6M]]+Table3[[#This Row],[Highlight rule 12 M]]</f>
        <v>0</v>
      </c>
      <c r="T185" s="6">
        <f>SUM(Table3[[#This Row],[Placement Fee]:[Salary]])</f>
        <v>0</v>
      </c>
      <c r="U185" s="6"/>
      <c r="V185" s="6">
        <f>IF(Table1[[#This Row],[MoL]]="Yes",55,0)</f>
        <v>0</v>
      </c>
      <c r="W185" s="6">
        <f>IF(Table1[[#This Row],[Long MoL +3 Years]]="Yes",137.5,0)</f>
        <v>0</v>
      </c>
      <c r="X185" s="6">
        <f>IF(Table1[[#This Row],[Gender]]="Female",137.5,0)</f>
        <v>0</v>
      </c>
      <c r="Y185" s="6">
        <f>IF(Table1[[#This Row],[Education]]="Bachelors +",55,0)</f>
        <v>0</v>
      </c>
      <c r="Z185" s="6">
        <f>IF(Table1[[#This Row],[Salary]]&gt;=600,82.5,0)</f>
        <v>0</v>
      </c>
    </row>
    <row r="186" spans="1:26">
      <c r="A186" s="3">
        <f>Table1[[#This Row],[SL No.]]</f>
        <v>185</v>
      </c>
      <c r="B186" t="str">
        <f>Table1[[#This Row],[Case manager]]</f>
        <v>Zainab Mattar</v>
      </c>
      <c r="C186" t="str">
        <f>Table1[[#This Row],[Ref No]]</f>
        <v>JCP/26/317628</v>
      </c>
      <c r="D186" t="str">
        <f>Table1[[#This Row],[Name]]</f>
        <v>Rabeya Ahmed Marzooqi</v>
      </c>
      <c r="E186" s="4">
        <f>'Placements 26'!F186</f>
        <v>46236</v>
      </c>
      <c r="F186" s="4" t="str">
        <f t="shared" ca="1" si="9"/>
        <v>Claimed</v>
      </c>
      <c r="G186" s="4"/>
      <c r="H186" s="4"/>
      <c r="I186" s="4">
        <v>46239</v>
      </c>
      <c r="J186">
        <f>IF(Table3[[#This Row],[Placement Fee &amp; Variables]]&gt;0,0,1)</f>
        <v>0</v>
      </c>
      <c r="K186" s="4">
        <f>Table3[[#This Row],[Joining Date]]+180</f>
        <v>46416</v>
      </c>
      <c r="L186" t="str">
        <f t="shared" ca="1" si="10"/>
        <v/>
      </c>
      <c r="N186">
        <f ca="1">IF(Table3[[#This Row],[6M Stat]]="Claimable",1,0)</f>
        <v>0</v>
      </c>
      <c r="O186" s="4">
        <f>Table3[[#This Row],[Joining Date]]+365</f>
        <v>46601</v>
      </c>
      <c r="Q186" t="str">
        <f t="shared" ca="1" si="8"/>
        <v/>
      </c>
      <c r="R186">
        <f ca="1">IF(Table3[[#This Row],[12 M Stat]]="Claimable",1,0)</f>
        <v>0</v>
      </c>
      <c r="S186">
        <f ca="1">Table3[[#This Row],[Placement claim Highlight]]+Table3[[#This Row],[Highlight rule 6M]]+Table3[[#This Row],[Highlight rule 12 M]]</f>
        <v>0</v>
      </c>
      <c r="T186" s="6">
        <f>SUM(Table3[[#This Row],[Placement Fee]:[Salary]])</f>
        <v>220</v>
      </c>
      <c r="U186" s="6"/>
      <c r="V186" s="6">
        <f>IF(Table1[[#This Row],[MoL]]="Yes",55,0)</f>
        <v>0</v>
      </c>
      <c r="W186" s="6">
        <f>IF(Table1[[#This Row],[Long MoL +3 Years]]="Yes",137.5,0)</f>
        <v>0</v>
      </c>
      <c r="X186" s="6">
        <f>IF(Table1[[#This Row],[Gender]]="Female",137.5,0)</f>
        <v>137.5</v>
      </c>
      <c r="Y186" s="6">
        <f>IF(Table1[[#This Row],[Education]]="Bachelors +",55,0)</f>
        <v>0</v>
      </c>
      <c r="Z186" s="6">
        <f>IF(Table1[[#This Row],[Salary]]&gt;=600,82.5,0)</f>
        <v>82.5</v>
      </c>
    </row>
    <row r="187" spans="1:26">
      <c r="A187" s="3">
        <f>Table1[[#This Row],[SL No.]]</f>
        <v>186</v>
      </c>
      <c r="B187" t="str">
        <f>Table1[[#This Row],[Case manager]]</f>
        <v>Zainab Almaroom</v>
      </c>
      <c r="C187" t="str">
        <f>Table1[[#This Row],[Ref No]]</f>
        <v>JCP/26/297401</v>
      </c>
      <c r="D187" t="str">
        <f>Table1[[#This Row],[Name]]</f>
        <v>FATEMA SALEM A. BURESHAID</v>
      </c>
      <c r="E187" s="4">
        <f>'Placements 26'!F187</f>
        <v>46233</v>
      </c>
      <c r="F187" s="4" t="str">
        <f t="shared" ca="1" si="9"/>
        <v>Claimed</v>
      </c>
      <c r="G187" s="4"/>
      <c r="H187" s="4"/>
      <c r="I187" s="4">
        <v>46240</v>
      </c>
      <c r="J187">
        <f>IF(Table3[[#This Row],[Placement Fee &amp; Variables]]&gt;0,0,1)</f>
        <v>0</v>
      </c>
      <c r="K187" s="4">
        <f>Table3[[#This Row],[Joining Date]]+180</f>
        <v>46413</v>
      </c>
      <c r="L187" t="str">
        <f t="shared" ca="1" si="10"/>
        <v/>
      </c>
      <c r="N187">
        <f ca="1">IF(Table3[[#This Row],[6M Stat]]="Claimable",1,0)</f>
        <v>0</v>
      </c>
      <c r="O187" s="4">
        <f>Table3[[#This Row],[Joining Date]]+365</f>
        <v>46598</v>
      </c>
      <c r="Q187" t="str">
        <f t="shared" ca="1" si="8"/>
        <v/>
      </c>
      <c r="R187">
        <f ca="1">IF(Table3[[#This Row],[12 M Stat]]="Claimable",1,0)</f>
        <v>0</v>
      </c>
      <c r="S187">
        <f ca="1">Table3[[#This Row],[Placement claim Highlight]]+Table3[[#This Row],[Highlight rule 6M]]+Table3[[#This Row],[Highlight rule 12 M]]</f>
        <v>0</v>
      </c>
      <c r="T187" s="6">
        <f>SUM(Table3[[#This Row],[Placement Fee]:[Salary]])</f>
        <v>247.5</v>
      </c>
      <c r="U187" s="6"/>
      <c r="V187" s="6">
        <f>IF(Table1[[#This Row],[MoL]]="Yes",55,0)</f>
        <v>55</v>
      </c>
      <c r="W187" s="6">
        <f>IF(Table1[[#This Row],[Long MoL +3 Years]]="Yes",137.5,0)</f>
        <v>0</v>
      </c>
      <c r="X187" s="6">
        <f>IF(Table1[[#This Row],[Gender]]="Female",137.5,0)</f>
        <v>137.5</v>
      </c>
      <c r="Y187" s="6">
        <f>IF(Table1[[#This Row],[Education]]="Bachelors +",55,0)</f>
        <v>55</v>
      </c>
      <c r="Z187" s="6">
        <f>IF(Table1[[#This Row],[Salary]]&gt;=600,82.5,0)</f>
        <v>0</v>
      </c>
    </row>
    <row r="188" spans="1:26">
      <c r="A188" s="3">
        <f>Table1[[#This Row],[SL No.]]</f>
        <v>187</v>
      </c>
      <c r="B188" t="str">
        <f>Table1[[#This Row],[Case manager]]</f>
        <v>Meaad</v>
      </c>
      <c r="C188" t="str">
        <f>Table1[[#This Row],[Ref No]]</f>
        <v>JCP/26/321878</v>
      </c>
      <c r="D188" t="str">
        <f>Table1[[#This Row],[Name]]</f>
        <v>Hasan Mahfoodh Husain</v>
      </c>
      <c r="E188" s="4">
        <f>'Placements 26'!F188</f>
        <v>46229</v>
      </c>
      <c r="F188" s="4" t="str">
        <f t="shared" ca="1" si="9"/>
        <v>Claimed</v>
      </c>
      <c r="G188" s="4"/>
      <c r="H188" s="4"/>
      <c r="I188" s="44">
        <v>46240</v>
      </c>
      <c r="J188">
        <f>IF(Table3[[#This Row],[Placement Fee &amp; Variables]]&gt;0,0,1)</f>
        <v>0</v>
      </c>
      <c r="K188" s="4">
        <f>Table3[[#This Row],[Joining Date]]+180</f>
        <v>46409</v>
      </c>
      <c r="L188" t="str">
        <f t="shared" ca="1" si="10"/>
        <v/>
      </c>
      <c r="N188">
        <f ca="1">IF(Table3[[#This Row],[6M Stat]]="Claimable",1,0)</f>
        <v>0</v>
      </c>
      <c r="O188" s="4">
        <f>Table3[[#This Row],[Joining Date]]+365</f>
        <v>46594</v>
      </c>
      <c r="Q188" t="str">
        <f t="shared" ca="1" si="8"/>
        <v/>
      </c>
      <c r="R188">
        <f ca="1">IF(Table3[[#This Row],[12 M Stat]]="Claimable",1,0)</f>
        <v>0</v>
      </c>
      <c r="S188">
        <f ca="1">Table3[[#This Row],[Placement claim Highlight]]+Table3[[#This Row],[Highlight rule 6M]]+Table3[[#This Row],[Highlight rule 12 M]]</f>
        <v>0</v>
      </c>
      <c r="T188" s="6">
        <f>SUM(Table3[[#This Row],[Placement Fee]:[Salary]])</f>
        <v>82.5</v>
      </c>
      <c r="U188" s="6"/>
      <c r="V188" s="6">
        <f>IF(Table1[[#This Row],[MoL]]="Yes",55,0)</f>
        <v>0</v>
      </c>
      <c r="W188" s="6">
        <f>IF(Table1[[#This Row],[Long MoL +3 Years]]="Yes",137.5,0)</f>
        <v>0</v>
      </c>
      <c r="X188" s="6">
        <f>IF(Table1[[#This Row],[Gender]]="Female",137.5,0)</f>
        <v>0</v>
      </c>
      <c r="Y188" s="6">
        <f>IF(Table1[[#This Row],[Education]]="Bachelors +",55,0)</f>
        <v>0</v>
      </c>
      <c r="Z188" s="6">
        <f>IF(Table1[[#This Row],[Salary]]&gt;=600,82.5,0)</f>
        <v>82.5</v>
      </c>
    </row>
    <row r="189" spans="1:26">
      <c r="A189" s="3">
        <f>Table1[[#This Row],[SL No.]]</f>
        <v>188</v>
      </c>
      <c r="B189" t="str">
        <f>Table1[[#This Row],[Case manager]]</f>
        <v>Khalifa</v>
      </c>
      <c r="C189" t="str">
        <f>Table1[[#This Row],[Ref No]]</f>
        <v>JCP/26/326556</v>
      </c>
      <c r="D189" t="str">
        <f>Table1[[#This Row],[Name]]</f>
        <v>Roaya Adel Mahraban Baki</v>
      </c>
      <c r="E189" s="4">
        <f>'Placements 26'!F189</f>
        <v>46243</v>
      </c>
      <c r="F189" s="4" t="str">
        <f t="shared" ca="1" si="9"/>
        <v>Claimed</v>
      </c>
      <c r="G189" s="4"/>
      <c r="H189" s="4"/>
      <c r="I189" s="4">
        <v>46246</v>
      </c>
      <c r="J189">
        <f>IF(Table3[[#This Row],[Placement Fee &amp; Variables]]&gt;0,0,1)</f>
        <v>0</v>
      </c>
      <c r="K189" s="4">
        <f>Table3[[#This Row],[Joining Date]]+180</f>
        <v>46423</v>
      </c>
      <c r="L189" t="str">
        <f t="shared" ca="1" si="10"/>
        <v/>
      </c>
      <c r="N189">
        <f ca="1">IF(Table3[[#This Row],[6M Stat]]="Claimable",1,0)</f>
        <v>0</v>
      </c>
      <c r="O189" s="4">
        <f>Table3[[#This Row],[Joining Date]]+365</f>
        <v>46608</v>
      </c>
      <c r="Q189" t="str">
        <f t="shared" ca="1" si="8"/>
        <v/>
      </c>
      <c r="R189">
        <f ca="1">IF(Table3[[#This Row],[12 M Stat]]="Claimable",1,0)</f>
        <v>0</v>
      </c>
      <c r="S189">
        <f ca="1">Table3[[#This Row],[Placement claim Highlight]]+Table3[[#This Row],[Highlight rule 6M]]+Table3[[#This Row],[Highlight rule 12 M]]</f>
        <v>0</v>
      </c>
      <c r="T189" s="6">
        <f>SUM(Table3[[#This Row],[Placement Fee]:[Salary]])</f>
        <v>192.5</v>
      </c>
      <c r="U189" s="6"/>
      <c r="V189" s="6">
        <f>IF(Table1[[#This Row],[MoL]]="Yes",55,0)</f>
        <v>0</v>
      </c>
      <c r="W189" s="6">
        <f>IF(Table1[[#This Row],[Long MoL +3 Years]]="Yes",137.5,0)</f>
        <v>0</v>
      </c>
      <c r="X189" s="6">
        <f>IF(Table1[[#This Row],[Gender]]="Female",137.5,0)</f>
        <v>137.5</v>
      </c>
      <c r="Y189" s="6">
        <f>IF(Table1[[#This Row],[Education]]="Bachelors +",55,0)</f>
        <v>55</v>
      </c>
      <c r="Z189" s="6">
        <f>IF(Table1[[#This Row],[Salary]]&gt;=600,82.5,0)</f>
        <v>0</v>
      </c>
    </row>
    <row r="190" spans="1:26">
      <c r="A190" s="3">
        <f>Table1[[#This Row],[SL No.]]</f>
        <v>189</v>
      </c>
      <c r="B190" t="str">
        <f>Table1[[#This Row],[Case manager]]</f>
        <v>Zainab Mattar</v>
      </c>
      <c r="C190" t="str">
        <f>Table1[[#This Row],[Ref No]]</f>
        <v>JCP/26/293059</v>
      </c>
      <c r="D190" t="str">
        <f>Table1[[#This Row],[Name]]</f>
        <v>Ali Mohamed Juma Ahmed Binahmed</v>
      </c>
      <c r="E190" s="4">
        <f>'Placements 26'!F190</f>
        <v>46233</v>
      </c>
      <c r="F190" s="4" t="str">
        <f t="shared" ref="F190" ca="1" si="11">IF(S190&gt;=1,"Claimable","Claimed")</f>
        <v>Claimed</v>
      </c>
      <c r="G190" s="4"/>
      <c r="H190" s="4"/>
      <c r="I190" s="4">
        <v>46246</v>
      </c>
      <c r="J190">
        <f>IF(Table3[[#This Row],[Placement Fee &amp; Variables]]&gt;0,0,1)</f>
        <v>0</v>
      </c>
      <c r="K190" s="4">
        <f>Table3[[#This Row],[Joining Date]]+180</f>
        <v>46413</v>
      </c>
      <c r="L190" t="str">
        <f t="shared" ca="1" si="10"/>
        <v/>
      </c>
      <c r="N190">
        <f ca="1">IF(Table3[[#This Row],[6M Stat]]="Claimable",1,0)</f>
        <v>0</v>
      </c>
      <c r="O190" s="4">
        <f>Table3[[#This Row],[Joining Date]]+365</f>
        <v>46598</v>
      </c>
      <c r="Q190" t="str">
        <f t="shared" ca="1" si="8"/>
        <v/>
      </c>
      <c r="R190">
        <f ca="1">IF(Table3[[#This Row],[12 M Stat]]="Claimable",1,0)</f>
        <v>0</v>
      </c>
      <c r="S190">
        <f ca="1">Table3[[#This Row],[Placement claim Highlight]]+Table3[[#This Row],[Highlight rule 6M]]+Table3[[#This Row],[Highlight rule 12 M]]</f>
        <v>0</v>
      </c>
      <c r="T190" s="6">
        <f>SUM(Table3[[#This Row],[Placement Fee]:[Salary]])</f>
        <v>55</v>
      </c>
      <c r="U190" s="6"/>
      <c r="V190" s="6">
        <f>IF(Table1[[#This Row],[MoL]]="Yes",55,0)</f>
        <v>0</v>
      </c>
      <c r="W190" s="6">
        <f>IF(Table1[[#This Row],[Long MoL +3 Years]]="Yes",137.5,0)</f>
        <v>0</v>
      </c>
      <c r="X190" s="6">
        <f>IF(Table1[[#This Row],[Gender]]="Female",137.5,0)</f>
        <v>0</v>
      </c>
      <c r="Y190" s="6">
        <f>IF(Table1[[#This Row],[Education]]="Bachelors +",55,0)</f>
        <v>55</v>
      </c>
      <c r="Z190" s="6">
        <f>IF(Table1[[#This Row],[Salary]]&gt;=600,82.5,0)</f>
        <v>0</v>
      </c>
    </row>
    <row r="191" spans="1:26">
      <c r="A191" s="3">
        <f>Table1[[#This Row],[SL No.]]</f>
        <v>190</v>
      </c>
      <c r="B191" t="str">
        <f>Table1[[#This Row],[Case manager]]</f>
        <v>Husain</v>
      </c>
      <c r="C191" t="str">
        <f>Table1[[#This Row],[Ref No]]</f>
        <v>JCP/26/288202</v>
      </c>
      <c r="D191" t="str">
        <f>Table1[[#This Row],[Name]]</f>
        <v>SALMAN MOHAMED ABDULAMEER SALEH MAJED</v>
      </c>
      <c r="E191" s="4">
        <f>'Placements 26'!F191</f>
        <v>46235</v>
      </c>
      <c r="F191" s="4" t="str">
        <f t="shared" ref="F191:F197" ca="1" si="12">IF(S191&gt;=1,"Claimable","Claimed")</f>
        <v>Claimed</v>
      </c>
      <c r="G191" s="4"/>
      <c r="H191" s="4"/>
      <c r="I191" s="4">
        <v>46247</v>
      </c>
      <c r="J191">
        <f>IF(Table3[[#This Row],[Placement Fee &amp; Variables]]&gt;0,0,1)</f>
        <v>0</v>
      </c>
      <c r="K191" s="4">
        <f>Table3[[#This Row],[Joining Date]]+180</f>
        <v>46415</v>
      </c>
      <c r="L191" t="str">
        <f t="shared" ca="1" si="10"/>
        <v/>
      </c>
      <c r="N191">
        <f ca="1">IF(Table3[[#This Row],[6M Stat]]="Claimable",1,0)</f>
        <v>0</v>
      </c>
      <c r="O191" s="4">
        <f>Table3[[#This Row],[Joining Date]]+365</f>
        <v>46600</v>
      </c>
      <c r="Q191" t="str">
        <f t="shared" ca="1" si="8"/>
        <v/>
      </c>
      <c r="R191">
        <f ca="1">IF(Table3[[#This Row],[12 M Stat]]="Claimable",1,0)</f>
        <v>0</v>
      </c>
      <c r="S191">
        <f ca="1">Table3[[#This Row],[Placement claim Highlight]]+Table3[[#This Row],[Highlight rule 6M]]+Table3[[#This Row],[Highlight rule 12 M]]</f>
        <v>0</v>
      </c>
      <c r="T191" s="6">
        <f>SUM(Table3[[#This Row],[Placement Fee]:[Salary]])</f>
        <v>110</v>
      </c>
      <c r="U191" s="6"/>
      <c r="V191" s="6">
        <f>IF(Table1[[#This Row],[MoL]]="Yes",55,0)</f>
        <v>55</v>
      </c>
      <c r="W191" s="6">
        <f>IF(Table1[[#This Row],[Long MoL +3 Years]]="Yes",137.5,0)</f>
        <v>0</v>
      </c>
      <c r="X191" s="6">
        <f>IF(Table1[[#This Row],[Gender]]="Female",137.5,0)</f>
        <v>0</v>
      </c>
      <c r="Y191" s="6">
        <f>IF(Table1[[#This Row],[Education]]="Bachelors +",55,0)</f>
        <v>55</v>
      </c>
      <c r="Z191" s="6">
        <f>IF(Table1[[#This Row],[Salary]]&gt;=600,82.5,0)</f>
        <v>0</v>
      </c>
    </row>
    <row r="192" spans="1:26">
      <c r="A192" s="3">
        <f>Table1[[#This Row],[SL No.]]</f>
        <v>191</v>
      </c>
      <c r="B192" t="str">
        <f>Table1[[#This Row],[Case manager]]</f>
        <v>Dina</v>
      </c>
      <c r="C192" t="str">
        <f>Table1[[#This Row],[Ref No]]</f>
        <v>JCP/26/320248</v>
      </c>
      <c r="D192" t="str">
        <f>Table1[[#This Row],[Name]]</f>
        <v>LEEZA NEDHAL SUBHI AAQELA</v>
      </c>
      <c r="E192" s="4">
        <f>'Placements 26'!F192</f>
        <v>46235</v>
      </c>
      <c r="F192" s="4" t="str">
        <f t="shared" ca="1" si="12"/>
        <v>Claimed</v>
      </c>
      <c r="G192" s="4"/>
      <c r="H192" s="4"/>
      <c r="I192" s="4">
        <v>46253</v>
      </c>
      <c r="J192">
        <f>IF(Table3[[#This Row],[Placement Fee &amp; Variables]]&gt;0,0,1)</f>
        <v>0</v>
      </c>
      <c r="K192" s="4">
        <f>Table3[[#This Row],[Joining Date]]+180</f>
        <v>46415</v>
      </c>
      <c r="L192" t="str">
        <f t="shared" ca="1" si="10"/>
        <v/>
      </c>
      <c r="N192">
        <f ca="1">IF(Table3[[#This Row],[6M Stat]]="Claimable",1,0)</f>
        <v>0</v>
      </c>
      <c r="O192" s="4">
        <f>Table3[[#This Row],[Joining Date]]+365</f>
        <v>46600</v>
      </c>
      <c r="Q192" t="str">
        <f t="shared" ca="1" si="8"/>
        <v/>
      </c>
      <c r="R192">
        <f ca="1">IF(Table3[[#This Row],[12 M Stat]]="Claimable",1,0)</f>
        <v>0</v>
      </c>
      <c r="S192">
        <f ca="1">Table3[[#This Row],[Placement claim Highlight]]+Table3[[#This Row],[Highlight rule 6M]]+Table3[[#This Row],[Highlight rule 12 M]]</f>
        <v>0</v>
      </c>
      <c r="T192" s="6">
        <f>SUM(Table3[[#This Row],[Placement Fee]:[Salary]])</f>
        <v>220</v>
      </c>
      <c r="U192" s="6"/>
      <c r="V192" s="6">
        <f>IF(Table1[[#This Row],[MoL]]="Yes",55,0)</f>
        <v>0</v>
      </c>
      <c r="W192" s="6">
        <f>IF(Table1[[#This Row],[Long MoL +3 Years]]="Yes",137.5,0)</f>
        <v>0</v>
      </c>
      <c r="X192" s="6">
        <f>IF(Table1[[#This Row],[Gender]]="Female",137.5,0)</f>
        <v>137.5</v>
      </c>
      <c r="Y192" s="6">
        <f>IF(Table1[[#This Row],[Education]]="Bachelors +",55,0)</f>
        <v>0</v>
      </c>
      <c r="Z192" s="6">
        <f>IF(Table1[[#This Row],[Salary]]&gt;=600,82.5,0)</f>
        <v>82.5</v>
      </c>
    </row>
    <row r="193" spans="1:26">
      <c r="A193" s="3">
        <f>Table1[[#This Row],[SL No.]]</f>
        <v>192</v>
      </c>
      <c r="B193" t="str">
        <f>Table1[[#This Row],[Case manager]]</f>
        <v>Malak</v>
      </c>
      <c r="C193" t="str">
        <f>Table1[[#This Row],[Ref No]]</f>
        <v>JCP/26/298806</v>
      </c>
      <c r="D193" t="str">
        <f>Table1[[#This Row],[Name]]</f>
        <v>MARYAM ISA AHMED MOHAMED</v>
      </c>
      <c r="E193" s="4">
        <f>'Placements 26'!F193</f>
        <v>46236</v>
      </c>
      <c r="F193" s="4" t="str">
        <f t="shared" ca="1" si="12"/>
        <v>Claimed</v>
      </c>
      <c r="G193" s="4"/>
      <c r="H193" s="4"/>
      <c r="I193" s="4">
        <v>46251</v>
      </c>
      <c r="J193">
        <f>IF(Table3[[#This Row],[Placement Fee &amp; Variables]]&gt;0,0,1)</f>
        <v>0</v>
      </c>
      <c r="K193" s="4">
        <f>Table3[[#This Row],[Joining Date]]+180</f>
        <v>46416</v>
      </c>
      <c r="L193" t="str">
        <f t="shared" ca="1" si="10"/>
        <v/>
      </c>
      <c r="N193">
        <f ca="1">IF(Table3[[#This Row],[6M Stat]]="Claimable",1,0)</f>
        <v>0</v>
      </c>
      <c r="O193" s="4">
        <f>Table3[[#This Row],[Joining Date]]+365</f>
        <v>46601</v>
      </c>
      <c r="Q193" t="str">
        <f t="shared" ca="1" si="8"/>
        <v/>
      </c>
      <c r="R193">
        <f ca="1">IF(Table3[[#This Row],[12 M Stat]]="Claimable",1,0)</f>
        <v>0</v>
      </c>
      <c r="S193">
        <f ca="1">Table3[[#This Row],[Placement claim Highlight]]+Table3[[#This Row],[Highlight rule 6M]]+Table3[[#This Row],[Highlight rule 12 M]]</f>
        <v>0</v>
      </c>
      <c r="T193" s="6">
        <f>SUM(Table3[[#This Row],[Placement Fee]:[Salary]])</f>
        <v>275</v>
      </c>
      <c r="U193" s="6"/>
      <c r="V193" s="6">
        <f>IF(Table1[[#This Row],[MoL]]="Yes",55,0)</f>
        <v>55</v>
      </c>
      <c r="W193" s="6">
        <f>IF(Table1[[#This Row],[Long MoL +3 Years]]="Yes",137.5,0)</f>
        <v>0</v>
      </c>
      <c r="X193" s="6">
        <f>IF(Table1[[#This Row],[Gender]]="Female",137.5,0)</f>
        <v>137.5</v>
      </c>
      <c r="Y193" s="6">
        <f>IF(Table1[[#This Row],[Education]]="Bachelors +",55,0)</f>
        <v>0</v>
      </c>
      <c r="Z193" s="6">
        <f>IF(Table1[[#This Row],[Salary]]&gt;=600,82.5,0)</f>
        <v>82.5</v>
      </c>
    </row>
    <row r="194" spans="1:26">
      <c r="A194" s="3">
        <f>Table1[[#This Row],[SL No.]]</f>
        <v>193</v>
      </c>
      <c r="B194" t="str">
        <f>Table1[[#This Row],[Case manager]]</f>
        <v>Meaad</v>
      </c>
      <c r="C194" t="str">
        <f>Table1[[#This Row],[Ref No]]</f>
        <v>JCP/26/334089</v>
      </c>
      <c r="D194" t="str">
        <f>Table1[[#This Row],[Name]]</f>
        <v>KHADIJA MUBARAK MUBARAK JAMSHEER</v>
      </c>
      <c r="E194" s="4">
        <f>'Placements 26'!F194</f>
        <v>46247</v>
      </c>
      <c r="F194" s="4" t="str">
        <f t="shared" ca="1" si="12"/>
        <v>Claimed</v>
      </c>
      <c r="G194" s="4"/>
      <c r="H194" s="4"/>
      <c r="I194" s="4">
        <v>46252</v>
      </c>
      <c r="J194">
        <f>IF(Table3[[#This Row],[Placement Fee &amp; Variables]]&gt;0,0,1)</f>
        <v>0</v>
      </c>
      <c r="K194" s="4">
        <f>Table3[[#This Row],[Joining Date]]+180</f>
        <v>46427</v>
      </c>
      <c r="L194" t="str">
        <f t="shared" ca="1" si="10"/>
        <v/>
      </c>
      <c r="N194">
        <f ca="1">IF(Table3[[#This Row],[6M Stat]]="Claimable",1,0)</f>
        <v>0</v>
      </c>
      <c r="O194" s="4">
        <f>Table3[[#This Row],[Joining Date]]+365</f>
        <v>46612</v>
      </c>
      <c r="Q194" t="str">
        <f t="shared" ca="1" si="8"/>
        <v/>
      </c>
      <c r="R194">
        <f ca="1">IF(Table3[[#This Row],[12 M Stat]]="Claimable",1,0)</f>
        <v>0</v>
      </c>
      <c r="S194">
        <f ca="1">Table3[[#This Row],[Placement claim Highlight]]+Table3[[#This Row],[Highlight rule 6M]]+Table3[[#This Row],[Highlight rule 12 M]]</f>
        <v>0</v>
      </c>
      <c r="T194" s="6">
        <f>SUM(Table3[[#This Row],[Placement Fee]:[Salary]])</f>
        <v>247.5</v>
      </c>
      <c r="U194" s="6"/>
      <c r="V194" s="6">
        <f>IF(Table1[[#This Row],[MoL]]="Yes",55,0)</f>
        <v>55</v>
      </c>
      <c r="W194" s="6">
        <f>IF(Table1[[#This Row],[Long MoL +3 Years]]="Yes",137.5,0)</f>
        <v>0</v>
      </c>
      <c r="X194" s="6">
        <f>IF(Table1[[#This Row],[Gender]]="Female",137.5,0)</f>
        <v>137.5</v>
      </c>
      <c r="Y194" s="6">
        <f>IF(Table1[[#This Row],[Education]]="Bachelors +",55,0)</f>
        <v>55</v>
      </c>
      <c r="Z194" s="6">
        <f>IF(Table1[[#This Row],[Salary]]&gt;=600,82.5,0)</f>
        <v>0</v>
      </c>
    </row>
    <row r="195" spans="1:26">
      <c r="A195" s="3">
        <f>Table1[[#This Row],[SL No.]]</f>
        <v>194</v>
      </c>
      <c r="B195" t="str">
        <f>Table1[[#This Row],[Case manager]]</f>
        <v>Ameera</v>
      </c>
      <c r="C195" t="str">
        <f>Table1[[#This Row],[Ref No]]</f>
        <v>JCP/26/337351</v>
      </c>
      <c r="D195" t="str">
        <f>Table1[[#This Row],[Name]]</f>
        <v>NOOF MOHAMED ABDULLA ALKHALDI</v>
      </c>
      <c r="E195" s="4">
        <f>'Placements 26'!F195</f>
        <v>46245</v>
      </c>
      <c r="F195" s="4" t="str">
        <f t="shared" ca="1" si="12"/>
        <v>Claimed</v>
      </c>
      <c r="G195" s="4"/>
      <c r="H195" s="4"/>
      <c r="I195" s="4">
        <v>46253</v>
      </c>
      <c r="J195">
        <f>IF(Table3[[#This Row],[Placement Fee &amp; Variables]]&gt;0,0,1)</f>
        <v>0</v>
      </c>
      <c r="K195" s="4">
        <f>Table3[[#This Row],[Joining Date]]+180</f>
        <v>46425</v>
      </c>
      <c r="L195" t="str">
        <f t="shared" ca="1" si="10"/>
        <v/>
      </c>
      <c r="N195">
        <f ca="1">IF(Table3[[#This Row],[6M Stat]]="Claimable",1,0)</f>
        <v>0</v>
      </c>
      <c r="O195" s="4">
        <f>Table3[[#This Row],[Joining Date]]+365</f>
        <v>46610</v>
      </c>
      <c r="Q195" t="str">
        <f t="shared" ref="Q195:Q258" ca="1" si="13">IF(AND(P195="", O195&lt;=TODAY()), "Claimable", "")</f>
        <v/>
      </c>
      <c r="R195">
        <f ca="1">IF(Table3[[#This Row],[12 M Stat]]="Claimable",1,0)</f>
        <v>0</v>
      </c>
      <c r="S195">
        <f ca="1">Table3[[#This Row],[Placement claim Highlight]]+Table3[[#This Row],[Highlight rule 6M]]+Table3[[#This Row],[Highlight rule 12 M]]</f>
        <v>0</v>
      </c>
      <c r="T195" s="6">
        <f>SUM(Table3[[#This Row],[Placement Fee]:[Salary]])</f>
        <v>330</v>
      </c>
      <c r="U195" s="6"/>
      <c r="V195" s="6">
        <f>IF(Table1[[#This Row],[MoL]]="Yes",55,0)</f>
        <v>55</v>
      </c>
      <c r="W195" s="6">
        <f>IF(Table1[[#This Row],[Long MoL +3 Years]]="Yes",137.5,0)</f>
        <v>0</v>
      </c>
      <c r="X195" s="6">
        <f>IF(Table1[[#This Row],[Gender]]="Female",137.5,0)</f>
        <v>137.5</v>
      </c>
      <c r="Y195" s="6">
        <f>IF(Table1[[#This Row],[Education]]="Bachelors +",55,0)</f>
        <v>55</v>
      </c>
      <c r="Z195" s="6">
        <f>IF(Table1[[#This Row],[Salary]]&gt;=600,82.5,0)</f>
        <v>82.5</v>
      </c>
    </row>
    <row r="196" spans="1:26">
      <c r="A196" s="3">
        <f>Table1[[#This Row],[SL No.]]</f>
        <v>195</v>
      </c>
      <c r="B196" t="str">
        <f>Table1[[#This Row],[Case manager]]</f>
        <v>Meaad</v>
      </c>
      <c r="C196" t="str">
        <f>Table1[[#This Row],[Ref No]]</f>
        <v>JCP/25/223474</v>
      </c>
      <c r="D196" t="str">
        <f>Table1[[#This Row],[Name]]</f>
        <v>salman mohamed haneef hayat</v>
      </c>
      <c r="E196" s="4">
        <f>'Placements 26'!F196</f>
        <v>46243</v>
      </c>
      <c r="F196" s="4" t="str">
        <f t="shared" ca="1" si="12"/>
        <v>Claimed</v>
      </c>
      <c r="G196" s="4"/>
      <c r="H196" s="4"/>
      <c r="I196" s="4">
        <v>46247</v>
      </c>
      <c r="J196">
        <f>IF(Table3[[#This Row],[Placement Fee &amp; Variables]]&gt;0,0,1)</f>
        <v>0</v>
      </c>
      <c r="K196" s="4">
        <f>Table3[[#This Row],[Joining Date]]+180</f>
        <v>46423</v>
      </c>
      <c r="L196" t="str">
        <f t="shared" ca="1" si="10"/>
        <v/>
      </c>
      <c r="N196">
        <f ca="1">IF(Table3[[#This Row],[6M Stat]]="Claimable",1,0)</f>
        <v>0</v>
      </c>
      <c r="O196" s="4">
        <f>Table3[[#This Row],[Joining Date]]+365</f>
        <v>46608</v>
      </c>
      <c r="Q196" t="str">
        <f t="shared" ca="1" si="13"/>
        <v/>
      </c>
      <c r="R196">
        <f ca="1">IF(Table3[[#This Row],[12 M Stat]]="Claimable",1,0)</f>
        <v>0</v>
      </c>
      <c r="S196">
        <f ca="1">Table3[[#This Row],[Placement claim Highlight]]+Table3[[#This Row],[Highlight rule 6M]]+Table3[[#This Row],[Highlight rule 12 M]]</f>
        <v>0</v>
      </c>
      <c r="T196" s="6">
        <f>SUM(Table3[[#This Row],[Placement Fee]:[Salary]])</f>
        <v>55</v>
      </c>
      <c r="U196" s="6"/>
      <c r="V196" s="6">
        <f>IF(Table1[[#This Row],[MoL]]="Yes",55,0)</f>
        <v>0</v>
      </c>
      <c r="W196" s="6">
        <f>IF(Table1[[#This Row],[Long MoL +3 Years]]="Yes",137.5,0)</f>
        <v>0</v>
      </c>
      <c r="X196" s="6">
        <f>IF(Table1[[#This Row],[Gender]]="Female",137.5,0)</f>
        <v>0</v>
      </c>
      <c r="Y196" s="6">
        <f>IF(Table1[[#This Row],[Education]]="Bachelors +",55,0)</f>
        <v>55</v>
      </c>
      <c r="Z196" s="6">
        <f>IF(Table1[[#This Row],[Salary]]&gt;=600,82.5,0)</f>
        <v>0</v>
      </c>
    </row>
    <row r="197" spans="1:26">
      <c r="A197" s="3">
        <f>Table1[[#This Row],[SL No.]]</f>
        <v>196</v>
      </c>
      <c r="B197" t="str">
        <f>Table1[[#This Row],[Case manager]]</f>
        <v>Malak</v>
      </c>
      <c r="C197" t="str">
        <f>Table1[[#This Row],[Ref No]]</f>
        <v>JCP/26/324457</v>
      </c>
      <c r="D197" t="str">
        <f>Table1[[#This Row],[Name]]</f>
        <v>MOHAMMED ALI ABDULLA ALI ABDULLA ALKHARDAWI</v>
      </c>
      <c r="E197" s="4">
        <f>'Placements 26'!F197</f>
        <v>46245</v>
      </c>
      <c r="F197" s="4" t="str">
        <f t="shared" ca="1" si="12"/>
        <v>Claimed</v>
      </c>
      <c r="G197" s="4"/>
      <c r="H197" s="4"/>
      <c r="I197" s="4">
        <v>46251</v>
      </c>
      <c r="J197">
        <f>IF(Table3[[#This Row],[Placement Fee &amp; Variables]]&gt;0,0,1)</f>
        <v>0</v>
      </c>
      <c r="K197" s="4">
        <f>Table3[[#This Row],[Joining Date]]+180</f>
        <v>46425</v>
      </c>
      <c r="L197" t="str">
        <f t="shared" ca="1" si="10"/>
        <v/>
      </c>
      <c r="N197">
        <f ca="1">IF(Table3[[#This Row],[6M Stat]]="Claimable",1,0)</f>
        <v>0</v>
      </c>
      <c r="O197" s="4">
        <f>Table3[[#This Row],[Joining Date]]+365</f>
        <v>46610</v>
      </c>
      <c r="Q197" t="str">
        <f t="shared" ca="1" si="13"/>
        <v/>
      </c>
      <c r="R197">
        <f ca="1">IF(Table3[[#This Row],[12 M Stat]]="Claimable",1,0)</f>
        <v>0</v>
      </c>
      <c r="S197">
        <f ca="1">Table3[[#This Row],[Placement claim Highlight]]+Table3[[#This Row],[Highlight rule 6M]]+Table3[[#This Row],[Highlight rule 12 M]]</f>
        <v>0</v>
      </c>
      <c r="T197" s="6">
        <f>SUM(Table3[[#This Row],[Placement Fee]:[Salary]])</f>
        <v>55</v>
      </c>
      <c r="U197" s="6"/>
      <c r="V197" s="6">
        <f>IF(Table1[[#This Row],[MoL]]="Yes",55,0)</f>
        <v>55</v>
      </c>
      <c r="W197" s="6">
        <f>IF(Table1[[#This Row],[Long MoL +3 Years]]="Yes",137.5,0)</f>
        <v>0</v>
      </c>
      <c r="X197" s="6">
        <f>IF(Table1[[#This Row],[Gender]]="Female",137.5,0)</f>
        <v>0</v>
      </c>
      <c r="Y197" s="6">
        <f>IF(Table1[[#This Row],[Education]]="Bachelors +",55,0)</f>
        <v>0</v>
      </c>
      <c r="Z197" s="6">
        <f>IF(Table1[[#This Row],[Salary]]&gt;=600,82.5,0)</f>
        <v>0</v>
      </c>
    </row>
    <row r="198" spans="1:26">
      <c r="A198" s="3">
        <f>Table1[[#This Row],[SL No.]]</f>
        <v>197</v>
      </c>
      <c r="B198" t="str">
        <f>Table1[[#This Row],[Case manager]]</f>
        <v>Meaad</v>
      </c>
      <c r="C198" t="str">
        <f>Table1[[#This Row],[Ref No]]</f>
        <v>JCP/25/245932</v>
      </c>
      <c r="D198" t="str">
        <f>Table1[[#This Row],[Name]]</f>
        <v>HUSSAIN EBRAHIM HASAN ALGHADAIRI</v>
      </c>
      <c r="E198" s="4">
        <f>'Placements 26'!F198</f>
        <v>46243</v>
      </c>
      <c r="F198" s="4" t="str">
        <f t="shared" ref="F198" ca="1" si="14">IF(S198&gt;=1,"Claimable","Claimed")</f>
        <v>Claimed</v>
      </c>
      <c r="G198" s="4"/>
      <c r="H198" s="4"/>
      <c r="I198" s="4">
        <v>46251</v>
      </c>
      <c r="J198">
        <f>IF(Table3[[#This Row],[Placement Fee &amp; Variables]]&gt;0,0,1)</f>
        <v>0</v>
      </c>
      <c r="K198" s="4">
        <f>Table3[[#This Row],[Joining Date]]+180</f>
        <v>46423</v>
      </c>
      <c r="L198" t="str">
        <f t="shared" ca="1" si="10"/>
        <v/>
      </c>
      <c r="N198">
        <f ca="1">IF(Table3[[#This Row],[6M Stat]]="Claimable",1,0)</f>
        <v>0</v>
      </c>
      <c r="O198" s="4">
        <f>Table3[[#This Row],[Joining Date]]+365</f>
        <v>46608</v>
      </c>
      <c r="Q198" t="str">
        <f t="shared" ca="1" si="13"/>
        <v/>
      </c>
      <c r="R198">
        <f ca="1">IF(Table3[[#This Row],[12 M Stat]]="Claimable",1,0)</f>
        <v>0</v>
      </c>
      <c r="S198">
        <f ca="1">Table3[[#This Row],[Placement claim Highlight]]+Table3[[#This Row],[Highlight rule 6M]]+Table3[[#This Row],[Highlight rule 12 M]]</f>
        <v>0</v>
      </c>
      <c r="T198" s="6">
        <f>SUM(Table3[[#This Row],[Placement Fee]:[Salary]])</f>
        <v>192.5</v>
      </c>
      <c r="U198" s="6"/>
      <c r="V198" s="6">
        <f>IF(Table1[[#This Row],[MoL]]="Yes",55,0)</f>
        <v>55</v>
      </c>
      <c r="W198" s="6">
        <f>IF(Table1[[#This Row],[Long MoL +3 Years]]="Yes",137.5,0)</f>
        <v>137.5</v>
      </c>
      <c r="X198" s="6">
        <f>IF(Table1[[#This Row],[Gender]]="Female",137.5,0)</f>
        <v>0</v>
      </c>
      <c r="Y198" s="6">
        <f>IF(Table1[[#This Row],[Education]]="Bachelors +",55,0)</f>
        <v>0</v>
      </c>
      <c r="Z198" s="6">
        <f>IF(Table1[[#This Row],[Salary]]&gt;=600,82.5,0)</f>
        <v>0</v>
      </c>
    </row>
    <row r="199" spans="1:26">
      <c r="A199" s="3">
        <f>Table1[[#This Row],[SL No.]]</f>
        <v>198</v>
      </c>
      <c r="B199" t="str">
        <f>Table1[[#This Row],[Case manager]]</f>
        <v>Dina</v>
      </c>
      <c r="C199" t="str">
        <f>Table1[[#This Row],[Ref No]]</f>
        <v>JCP/26/333853</v>
      </c>
      <c r="D199" t="str">
        <f>Table1[[#This Row],[Name]]</f>
        <v>ISA YUSUF AHMED ALBANNA</v>
      </c>
      <c r="E199" s="4">
        <f>'Placements 26'!F199</f>
        <v>46246</v>
      </c>
      <c r="F199" s="4" t="str">
        <f t="shared" ref="F199" ca="1" si="15">IF(S199&gt;=1,"Claimable","Claimed")</f>
        <v>Claimable</v>
      </c>
      <c r="G199" s="4" t="s">
        <v>38</v>
      </c>
      <c r="H199" s="4" t="s">
        <v>1170</v>
      </c>
      <c r="J199">
        <f>IF(Table3[[#This Row],[Placement Fee &amp; Variables]]&gt;0,0,1)</f>
        <v>1</v>
      </c>
      <c r="K199" s="4">
        <f>Table3[[#This Row],[Joining Date]]+180</f>
        <v>46426</v>
      </c>
      <c r="L199" t="str">
        <f t="shared" ca="1" si="10"/>
        <v/>
      </c>
      <c r="N199">
        <f ca="1">IF(Table3[[#This Row],[6M Stat]]="Claimable",1,0)</f>
        <v>0</v>
      </c>
      <c r="O199" s="4">
        <f>Table3[[#This Row],[Joining Date]]+365</f>
        <v>46611</v>
      </c>
      <c r="Q199" t="str">
        <f t="shared" ca="1" si="13"/>
        <v/>
      </c>
      <c r="R199">
        <f ca="1">IF(Table3[[#This Row],[12 M Stat]]="Claimable",1,0)</f>
        <v>0</v>
      </c>
      <c r="S199">
        <f ca="1">Table3[[#This Row],[Placement claim Highlight]]+Table3[[#This Row],[Highlight rule 6M]]+Table3[[#This Row],[Highlight rule 12 M]]</f>
        <v>1</v>
      </c>
      <c r="T199" s="6">
        <f>SUM(Table3[[#This Row],[Placement Fee]:[Salary]])</f>
        <v>0</v>
      </c>
      <c r="U199" s="6"/>
      <c r="V199" s="6">
        <f>IF(Table1[[#This Row],[MoL]]="Yes",55,0)</f>
        <v>0</v>
      </c>
      <c r="W199" s="6">
        <f>IF(Table1[[#This Row],[Long MoL +3 Years]]="Yes",137.5,0)</f>
        <v>0</v>
      </c>
      <c r="X199" s="6">
        <f>IF(Table1[[#This Row],[Gender]]="Female",137.5,0)</f>
        <v>0</v>
      </c>
      <c r="Y199" s="6">
        <f>IF(Table1[[#This Row],[Education]]="Bachelors +",55,0)</f>
        <v>0</v>
      </c>
      <c r="Z199" s="6">
        <f>IF(Table1[[#This Row],[Salary]]&gt;=600,82.5,0)</f>
        <v>0</v>
      </c>
    </row>
    <row r="200" spans="1:26">
      <c r="A200" s="3">
        <f>Table1[[#This Row],[SL No.]]</f>
        <v>199</v>
      </c>
      <c r="B200">
        <f>Table1[[#This Row],[Case manager]]</f>
        <v>0</v>
      </c>
      <c r="C200" t="str">
        <f>Table1[[#This Row],[Ref No]]</f>
        <v>JCP/26/323877</v>
      </c>
      <c r="D200" t="str">
        <f>Table1[[#This Row],[Name]]</f>
        <v>ZAINAB SAYED FADHUL HASHEM MAHFOODH HASAN</v>
      </c>
      <c r="E200" s="4">
        <f>'Placements 26'!F200</f>
        <v>46236</v>
      </c>
      <c r="F200" s="4" t="str">
        <f t="shared" ref="F200" ca="1" si="16">IF(S200&gt;=1,"Claimable","Claimed")</f>
        <v>Claimed</v>
      </c>
      <c r="G200" s="4"/>
      <c r="H200" s="4"/>
      <c r="I200" s="4">
        <v>46244</v>
      </c>
      <c r="J200">
        <f>IF(Table3[[#This Row],[Placement Fee &amp; Variables]]&gt;0,0,1)</f>
        <v>0</v>
      </c>
      <c r="K200" s="4">
        <f>Table3[[#This Row],[Joining Date]]+180</f>
        <v>46416</v>
      </c>
      <c r="L200" t="str">
        <f t="shared" ca="1" si="10"/>
        <v/>
      </c>
      <c r="N200">
        <f ca="1">IF(Table3[[#This Row],[6M Stat]]="Claimable",1,0)</f>
        <v>0</v>
      </c>
      <c r="O200" s="4">
        <f>Table3[[#This Row],[Joining Date]]+365</f>
        <v>46601</v>
      </c>
      <c r="Q200" t="str">
        <f t="shared" ca="1" si="13"/>
        <v/>
      </c>
      <c r="R200">
        <f ca="1">IF(Table3[[#This Row],[12 M Stat]]="Claimable",1,0)</f>
        <v>0</v>
      </c>
      <c r="S200">
        <f ca="1">Table3[[#This Row],[Placement claim Highlight]]+Table3[[#This Row],[Highlight rule 6M]]+Table3[[#This Row],[Highlight rule 12 M]]</f>
        <v>0</v>
      </c>
      <c r="T200" s="6">
        <f>SUM(Table3[[#This Row],[Placement Fee]:[Salary]])</f>
        <v>137.5</v>
      </c>
      <c r="U200" s="6"/>
      <c r="V200" s="6">
        <f>IF(Table1[[#This Row],[MoL]]="Yes",55,0)</f>
        <v>0</v>
      </c>
      <c r="W200" s="6">
        <f>IF(Table1[[#This Row],[Long MoL +3 Years]]="Yes",137.5,0)</f>
        <v>0</v>
      </c>
      <c r="X200" s="6">
        <f>IF(Table1[[#This Row],[Gender]]="Female",137.5,0)</f>
        <v>137.5</v>
      </c>
      <c r="Y200" s="6">
        <f>IF(Table1[[#This Row],[Education]]="Bachelors +",55,0)</f>
        <v>0</v>
      </c>
      <c r="Z200" s="6">
        <f>IF(Table1[[#This Row],[Salary]]&gt;=600,82.5,0)</f>
        <v>0</v>
      </c>
    </row>
    <row r="201" spans="1:26">
      <c r="A201" s="3">
        <f>Table1[[#This Row],[SL No.]]</f>
        <v>200</v>
      </c>
      <c r="B201">
        <f>Table1[[#This Row],[Case manager]]</f>
        <v>0</v>
      </c>
      <c r="C201" t="str">
        <f>Table1[[#This Row],[Ref No]]</f>
        <v>JCP/26/321174</v>
      </c>
      <c r="D201" t="str">
        <f>Table1[[#This Row],[Name]]</f>
        <v>NOOR HASHIM GHULOOM JAAFAR HASHIM AMEERI</v>
      </c>
      <c r="E201" s="4">
        <f>'Placements 26'!F201</f>
        <v>46233</v>
      </c>
      <c r="F201" s="4" t="str">
        <f t="shared" ref="F201" ca="1" si="17">IF(S201&gt;=1,"Claimable","Claimed")</f>
        <v>Claimed</v>
      </c>
      <c r="G201" s="4"/>
      <c r="H201" s="4"/>
      <c r="I201" s="4">
        <v>46233</v>
      </c>
      <c r="J201">
        <f>IF(Table3[[#This Row],[Placement Fee &amp; Variables]]&gt;0,0,1)</f>
        <v>0</v>
      </c>
      <c r="K201" s="4">
        <f>Table3[[#This Row],[Joining Date]]+180</f>
        <v>46413</v>
      </c>
      <c r="L201" t="str">
        <f t="shared" ca="1" si="10"/>
        <v/>
      </c>
      <c r="N201">
        <f ca="1">IF(Table3[[#This Row],[6M Stat]]="Claimable",1,0)</f>
        <v>0</v>
      </c>
      <c r="O201" s="4">
        <f>Table3[[#This Row],[Joining Date]]+365</f>
        <v>46598</v>
      </c>
      <c r="Q201" t="str">
        <f t="shared" ca="1" si="13"/>
        <v/>
      </c>
      <c r="R201">
        <f ca="1">IF(Table3[[#This Row],[12 M Stat]]="Claimable",1,0)</f>
        <v>0</v>
      </c>
      <c r="S201">
        <f ca="1">Table3[[#This Row],[Placement claim Highlight]]+Table3[[#This Row],[Highlight rule 6M]]+Table3[[#This Row],[Highlight rule 12 M]]</f>
        <v>0</v>
      </c>
      <c r="T201" s="6">
        <f>SUM(Table3[[#This Row],[Placement Fee]:[Salary]])</f>
        <v>247.5</v>
      </c>
      <c r="U201" s="6"/>
      <c r="V201" s="6">
        <f>IF(Table1[[#This Row],[MoL]]="Yes",55,0)</f>
        <v>55</v>
      </c>
      <c r="W201" s="6">
        <f>IF(Table1[[#This Row],[Long MoL +3 Years]]="Yes",137.5,0)</f>
        <v>0</v>
      </c>
      <c r="X201" s="6">
        <f>IF(Table1[[#This Row],[Gender]]="Female",137.5,0)</f>
        <v>137.5</v>
      </c>
      <c r="Y201" s="6">
        <f>IF(Table1[[#This Row],[Education]]="Bachelors +",55,0)</f>
        <v>55</v>
      </c>
      <c r="Z201" s="6">
        <f>IF(Table1[[#This Row],[Salary]]&gt;=600,82.5,0)</f>
        <v>0</v>
      </c>
    </row>
    <row r="202" spans="1:26">
      <c r="A202" s="3">
        <f>Table1[[#This Row],[SL No.]]</f>
        <v>201</v>
      </c>
      <c r="B202" t="str">
        <f>Table1[[#This Row],[Case manager]]</f>
        <v>Malak</v>
      </c>
      <c r="C202" t="str">
        <f>Table1[[#This Row],[Ref No]]</f>
        <v>JCP/26/324988</v>
      </c>
      <c r="D202" t="str">
        <f>Table1[[#This Row],[Name]]</f>
        <v>SALMAN HABIB MOHAMED NASRALLA HAIDER</v>
      </c>
      <c r="E202" s="4">
        <f>'Placements 26'!F202</f>
        <v>46233</v>
      </c>
      <c r="F202" s="4" t="str">
        <f t="shared" ref="F202" ca="1" si="18">IF(S202&gt;=1,"Claimable","Claimed")</f>
        <v>Claimed</v>
      </c>
      <c r="G202" s="4"/>
      <c r="H202" s="4"/>
      <c r="I202" s="4">
        <v>46237</v>
      </c>
      <c r="J202">
        <f>IF(Table3[[#This Row],[Placement Fee &amp; Variables]]&gt;0,0,1)</f>
        <v>0</v>
      </c>
      <c r="K202" s="4">
        <f>Table3[[#This Row],[Joining Date]]+180</f>
        <v>46413</v>
      </c>
      <c r="L202" t="str">
        <f t="shared" ca="1" si="10"/>
        <v/>
      </c>
      <c r="N202">
        <f ca="1">IF(Table3[[#This Row],[6M Stat]]="Claimable",1,0)</f>
        <v>0</v>
      </c>
      <c r="O202" s="4">
        <f>Table3[[#This Row],[Joining Date]]+365</f>
        <v>46598</v>
      </c>
      <c r="Q202" t="str">
        <f t="shared" ca="1" si="13"/>
        <v/>
      </c>
      <c r="R202">
        <f ca="1">IF(Table3[[#This Row],[12 M Stat]]="Claimable",1,0)</f>
        <v>0</v>
      </c>
      <c r="S202">
        <f ca="1">Table3[[#This Row],[Placement claim Highlight]]+Table3[[#This Row],[Highlight rule 6M]]+Table3[[#This Row],[Highlight rule 12 M]]</f>
        <v>0</v>
      </c>
      <c r="T202" s="6">
        <f>SUM(Table3[[#This Row],[Placement Fee]:[Salary]])</f>
        <v>110</v>
      </c>
      <c r="U202" s="6"/>
      <c r="V202" s="6">
        <f>IF(Table1[[#This Row],[MoL]]="Yes",55,0)</f>
        <v>55</v>
      </c>
      <c r="W202" s="6">
        <f>IF(Table1[[#This Row],[Long MoL +3 Years]]="Yes",137.5,0)</f>
        <v>0</v>
      </c>
      <c r="X202" s="6">
        <f>IF(Table1[[#This Row],[Gender]]="Female",137.5,0)</f>
        <v>0</v>
      </c>
      <c r="Y202" s="6">
        <f>IF(Table1[[#This Row],[Education]]="Bachelors +",55,0)</f>
        <v>55</v>
      </c>
      <c r="Z202" s="6">
        <f>IF(Table1[[#This Row],[Salary]]&gt;=600,82.5,0)</f>
        <v>0</v>
      </c>
    </row>
    <row r="203" spans="1:26">
      <c r="A203" s="3">
        <f>Table1[[#This Row],[SL No.]]</f>
        <v>202</v>
      </c>
      <c r="B203" t="str">
        <f>Table1[[#This Row],[Case manager]]</f>
        <v>Husain</v>
      </c>
      <c r="C203" t="str">
        <f>Table1[[#This Row],[Ref No]]</f>
        <v>JCP/26/321356</v>
      </c>
      <c r="D203" t="str">
        <f>Table1[[#This Row],[Name]]</f>
        <v>GHUFRAN FADHEL AHMED GHAREEB</v>
      </c>
      <c r="E203" s="4">
        <f>'Placements 26'!F203</f>
        <v>46223</v>
      </c>
      <c r="F203" s="4" t="str">
        <f t="shared" ref="F203" ca="1" si="19">IF(S203&gt;=1,"Claimable","Claimed")</f>
        <v>Claimed</v>
      </c>
      <c r="G203" s="4"/>
      <c r="H203" s="4"/>
      <c r="I203" s="4">
        <v>46236</v>
      </c>
      <c r="J203">
        <f>IF(Table3[[#This Row],[Placement Fee &amp; Variables]]&gt;0,0,1)</f>
        <v>0</v>
      </c>
      <c r="K203" s="4">
        <f>Table3[[#This Row],[Joining Date]]+180</f>
        <v>46403</v>
      </c>
      <c r="L203" t="str">
        <f t="shared" ca="1" si="10"/>
        <v/>
      </c>
      <c r="N203">
        <f ca="1">IF(Table3[[#This Row],[6M Stat]]="Claimable",1,0)</f>
        <v>0</v>
      </c>
      <c r="O203" s="4">
        <f>Table3[[#This Row],[Joining Date]]+365</f>
        <v>46588</v>
      </c>
      <c r="Q203" t="str">
        <f t="shared" ca="1" si="13"/>
        <v/>
      </c>
      <c r="R203">
        <f ca="1">IF(Table3[[#This Row],[12 M Stat]]="Claimable",1,0)</f>
        <v>0</v>
      </c>
      <c r="S203">
        <f ca="1">Table3[[#This Row],[Placement claim Highlight]]+Table3[[#This Row],[Highlight rule 6M]]+Table3[[#This Row],[Highlight rule 12 M]]</f>
        <v>0</v>
      </c>
      <c r="T203" s="6">
        <f>SUM(Table3[[#This Row],[Placement Fee]:[Salary]])</f>
        <v>467.5</v>
      </c>
      <c r="U203" s="6"/>
      <c r="V203" s="6">
        <f>IF(Table1[[#This Row],[MoL]]="Yes",55,0)</f>
        <v>55</v>
      </c>
      <c r="W203" s="6">
        <f>IF(Table1[[#This Row],[Long MoL +3 Years]]="Yes",137.5,0)</f>
        <v>137.5</v>
      </c>
      <c r="X203" s="6">
        <f>IF(Table1[[#This Row],[Gender]]="Female",137.5,0)</f>
        <v>137.5</v>
      </c>
      <c r="Y203" s="6">
        <f>IF(Table1[[#This Row],[Education]]="Bachelors +",55,0)</f>
        <v>55</v>
      </c>
      <c r="Z203" s="6">
        <f>IF(Table1[[#This Row],[Salary]]&gt;=600,82.5,0)</f>
        <v>82.5</v>
      </c>
    </row>
    <row r="204" spans="1:26">
      <c r="A204" s="3">
        <f>Table1[[#This Row],[SL No.]]</f>
        <v>203</v>
      </c>
      <c r="B204" t="str">
        <f>Table1[[#This Row],[Case manager]]</f>
        <v>Zainab Almaroom</v>
      </c>
      <c r="C204" t="str">
        <f>Table1[[#This Row],[Ref No]]</f>
        <v>JCP/26/314286</v>
      </c>
      <c r="D204" t="str">
        <f>Table1[[#This Row],[Name]]</f>
        <v>AHMED ABDULHADI ABDULL SATAIH</v>
      </c>
      <c r="E204" s="4">
        <f>'Placements 26'!F204</f>
        <v>46222</v>
      </c>
      <c r="F204" s="4" t="str">
        <f t="shared" ref="F204" ca="1" si="20">IF(S204&gt;=1,"Claimable","Claimed")</f>
        <v>Claimed</v>
      </c>
      <c r="G204" s="4"/>
      <c r="H204" s="4"/>
      <c r="I204" s="4">
        <v>46223</v>
      </c>
      <c r="J204">
        <f>IF(Table3[[#This Row],[Placement Fee &amp; Variables]]&gt;0,0,1)</f>
        <v>0</v>
      </c>
      <c r="K204" s="4">
        <f>Table3[[#This Row],[Joining Date]]+180</f>
        <v>46402</v>
      </c>
      <c r="L204" t="str">
        <f t="shared" ca="1" si="10"/>
        <v/>
      </c>
      <c r="N204">
        <f ca="1">IF(Table3[[#This Row],[6M Stat]]="Claimable",1,0)</f>
        <v>0</v>
      </c>
      <c r="O204" s="4">
        <f>Table3[[#This Row],[Joining Date]]+365</f>
        <v>46587</v>
      </c>
      <c r="Q204" t="str">
        <f t="shared" ca="1" si="13"/>
        <v/>
      </c>
      <c r="R204">
        <f ca="1">IF(Table3[[#This Row],[12 M Stat]]="Claimable",1,0)</f>
        <v>0</v>
      </c>
      <c r="S204">
        <f ca="1">Table3[[#This Row],[Placement claim Highlight]]+Table3[[#This Row],[Highlight rule 6M]]+Table3[[#This Row],[Highlight rule 12 M]]</f>
        <v>0</v>
      </c>
      <c r="T204" s="6">
        <f>SUM(Table3[[#This Row],[Placement Fee]:[Salary]])</f>
        <v>55</v>
      </c>
      <c r="U204" s="6"/>
      <c r="V204" s="6">
        <f>IF(Table1[[#This Row],[MoL]]="Yes",55,0)</f>
        <v>55</v>
      </c>
      <c r="W204" s="6">
        <f>IF(Table1[[#This Row],[Long MoL +3 Years]]="Yes",137.5,0)</f>
        <v>0</v>
      </c>
      <c r="X204" s="6">
        <f>IF(Table1[[#This Row],[Gender]]="Female",137.5,0)</f>
        <v>0</v>
      </c>
      <c r="Y204" s="6">
        <f>IF(Table1[[#This Row],[Education]]="Bachelors +",55,0)</f>
        <v>0</v>
      </c>
      <c r="Z204" s="6">
        <f>IF(Table1[[#This Row],[Salary]]&gt;=600,82.5,0)</f>
        <v>0</v>
      </c>
    </row>
    <row r="205" spans="1:26">
      <c r="A205" s="3">
        <f>Table1[[#This Row],[SL No.]]</f>
        <v>204</v>
      </c>
      <c r="B205" t="str">
        <f>Table1[[#This Row],[Case manager]]</f>
        <v>Malak</v>
      </c>
      <c r="C205" t="str">
        <f>Table1[[#This Row],[Ref No]]</f>
        <v>JCP/26/318606</v>
      </c>
      <c r="D205" t="str">
        <f>Table1[[#This Row],[Name]]</f>
        <v>FAISAL ABDULNASER HASAN ABDULHASAN SAKRAN</v>
      </c>
      <c r="E205" s="4">
        <f>'Placements 26'!F205</f>
        <v>46209</v>
      </c>
      <c r="F205" s="4" t="str">
        <f t="shared" ref="F205" ca="1" si="21">IF(S205&gt;=1,"Claimable","Claimed")</f>
        <v>Claimed</v>
      </c>
      <c r="G205" s="4"/>
      <c r="H205" s="4"/>
      <c r="I205" s="4">
        <v>46223</v>
      </c>
      <c r="J205">
        <f>IF(Table3[[#This Row],[Placement Fee &amp; Variables]]&gt;0,0,1)</f>
        <v>0</v>
      </c>
      <c r="K205" s="4">
        <f>Table3[[#This Row],[Joining Date]]+180</f>
        <v>46389</v>
      </c>
      <c r="L205" t="str">
        <f t="shared" ca="1" si="10"/>
        <v/>
      </c>
      <c r="N205">
        <f ca="1">IF(Table3[[#This Row],[6M Stat]]="Claimable",1,0)</f>
        <v>0</v>
      </c>
      <c r="O205" s="4">
        <f>Table3[[#This Row],[Joining Date]]+365</f>
        <v>46574</v>
      </c>
      <c r="Q205" t="str">
        <f t="shared" ca="1" si="13"/>
        <v/>
      </c>
      <c r="R205">
        <f ca="1">IF(Table3[[#This Row],[12 M Stat]]="Claimable",1,0)</f>
        <v>0</v>
      </c>
      <c r="S205">
        <f ca="1">Table3[[#This Row],[Placement claim Highlight]]+Table3[[#This Row],[Highlight rule 6M]]+Table3[[#This Row],[Highlight rule 12 M]]</f>
        <v>0</v>
      </c>
      <c r="T205" s="6">
        <f>SUM(Table3[[#This Row],[Placement Fee]:[Salary]])</f>
        <v>192.5</v>
      </c>
      <c r="U205" s="6"/>
      <c r="V205" s="6">
        <f>IF(Table1[[#This Row],[MoL]]="Yes",55,0)</f>
        <v>55</v>
      </c>
      <c r="W205" s="6">
        <f>IF(Table1[[#This Row],[Long MoL +3 Years]]="Yes",137.5,0)</f>
        <v>137.5</v>
      </c>
      <c r="X205" s="6">
        <f>IF(Table1[[#This Row],[Gender]]="Female",137.5,0)</f>
        <v>0</v>
      </c>
      <c r="Y205" s="6">
        <f>IF(Table1[[#This Row],[Education]]="Bachelors +",55,0)</f>
        <v>0</v>
      </c>
      <c r="Z205" s="6">
        <f>IF(Table1[[#This Row],[Salary]]&gt;=600,82.5,0)</f>
        <v>0</v>
      </c>
    </row>
    <row r="206" spans="1:26">
      <c r="A206" s="3">
        <f>Table1[[#This Row],[SL No.]]</f>
        <v>205</v>
      </c>
      <c r="B206" t="str">
        <f>Table1[[#This Row],[Case manager]]</f>
        <v>Zainab Almaroom</v>
      </c>
      <c r="C206" t="str">
        <f>Table1[[#This Row],[Ref No]]</f>
        <v>JCP/26/340996</v>
      </c>
      <c r="D206" t="str">
        <f>Table1[[#This Row],[Name]]</f>
        <v xml:space="preserve"> HUSSAIN MOHAMMED RIDHA SH.HUSSAIN ALJAZEERI</v>
      </c>
      <c r="E206" s="4">
        <f>'Placements 26'!F205</f>
        <v>46209</v>
      </c>
      <c r="F206" s="4" t="str">
        <f t="shared" ca="1" si="9"/>
        <v>Claimable</v>
      </c>
      <c r="G206" s="4"/>
      <c r="H206" s="4"/>
      <c r="J206">
        <f>IF(Table3[[#This Row],[Placement Fee &amp; Variables]]&gt;0,0,1)</f>
        <v>1</v>
      </c>
      <c r="K206" s="4">
        <f>Table3[[#This Row],[Joining Date]]+180</f>
        <v>46389</v>
      </c>
      <c r="L206" t="str">
        <f t="shared" ca="1" si="10"/>
        <v/>
      </c>
      <c r="N206">
        <f ca="1">IF(Table3[[#This Row],[6M Stat]]="Claimable",1,0)</f>
        <v>0</v>
      </c>
      <c r="O206" s="4">
        <f>Table3[[#This Row],[Joining Date]]+365</f>
        <v>46574</v>
      </c>
      <c r="Q206" t="str">
        <f t="shared" ca="1" si="13"/>
        <v/>
      </c>
      <c r="R206">
        <f ca="1">IF(Table3[[#This Row],[12 M Stat]]="Claimable",1,0)</f>
        <v>0</v>
      </c>
      <c r="S206">
        <f ca="1">Table3[[#This Row],[Placement claim Highlight]]+Table3[[#This Row],[Highlight rule 6M]]+Table3[[#This Row],[Highlight rule 12 M]]</f>
        <v>1</v>
      </c>
      <c r="T206" s="6">
        <f>SUM(Table3[[#This Row],[Placement Fee]:[Salary]])</f>
        <v>137.5</v>
      </c>
      <c r="U206" s="6"/>
      <c r="V206" s="6">
        <f>IF(Table1[[#This Row],[MoL]]="Yes",55,0)</f>
        <v>0</v>
      </c>
      <c r="W206" s="6">
        <f>IF(Table1[[#This Row],[Long MoL +3 Years]]="Yes",137.5,0)</f>
        <v>0</v>
      </c>
      <c r="X206" s="6">
        <f>IF(Table1[[#This Row],[Gender]]="Female",137.5,0)</f>
        <v>0</v>
      </c>
      <c r="Y206" s="6">
        <f>IF(Table1[[#This Row],[Education]]="Bachelors +",55,0)</f>
        <v>55</v>
      </c>
      <c r="Z206" s="6">
        <f>IF(Table1[[#This Row],[Salary]]&gt;=600,82.5,0)</f>
        <v>82.5</v>
      </c>
    </row>
    <row r="207" spans="1:26">
      <c r="A207" s="3">
        <f>Table1[[#This Row],[SL No.]]</f>
        <v>206</v>
      </c>
      <c r="B207" t="str">
        <f>Table1[[#This Row],[Case manager]]</f>
        <v>Meaad</v>
      </c>
      <c r="C207" t="str">
        <f>Table1[[#This Row],[Ref No]]</f>
        <v>JCP/26/341785</v>
      </c>
      <c r="D207" t="str">
        <f>Table1[[#This Row],[Name]]</f>
        <v xml:space="preserve"> MOHAMED HUSAIN E FATHI</v>
      </c>
      <c r="E207" s="4">
        <f>'Placements 26'!F206</f>
        <v>46260</v>
      </c>
      <c r="F207" s="4" t="str">
        <f t="shared" ref="F207:F270" ca="1" si="22">IF(S207&gt;=1,"Claimable","Claimed")</f>
        <v>Claimed</v>
      </c>
      <c r="G207" s="4"/>
      <c r="H207" s="4"/>
      <c r="I207" s="4">
        <v>46265</v>
      </c>
      <c r="J207">
        <f>IF(Table3[[#This Row],[Placement Fee &amp; Variables]]&gt;0,0,1)</f>
        <v>0</v>
      </c>
      <c r="K207" s="4">
        <f>Table3[[#This Row],[Joining Date]]+180</f>
        <v>46440</v>
      </c>
      <c r="L207" t="str">
        <f t="shared" ref="L207:L270" ca="1" si="23">IF(AND(M207="", K207&lt;=TODAY()), "Claimable", "")</f>
        <v/>
      </c>
      <c r="N207">
        <f ca="1">IF(Table3[[#This Row],[6M Stat]]="Claimable",1,0)</f>
        <v>0</v>
      </c>
      <c r="O207" s="4">
        <f>Table3[[#This Row],[Joining Date]]+365</f>
        <v>46625</v>
      </c>
      <c r="Q207" t="str">
        <f t="shared" ca="1" si="13"/>
        <v/>
      </c>
      <c r="R207">
        <f ca="1">IF(Table3[[#This Row],[12 M Stat]]="Claimable",1,0)</f>
        <v>0</v>
      </c>
      <c r="S207">
        <f ca="1">Table3[[#This Row],[Placement claim Highlight]]+Table3[[#This Row],[Highlight rule 6M]]+Table3[[#This Row],[Highlight rule 12 M]]</f>
        <v>0</v>
      </c>
      <c r="T207" s="6">
        <f>SUM(Table3[[#This Row],[Placement Fee]:[Salary]])</f>
        <v>55</v>
      </c>
      <c r="U207" s="6"/>
      <c r="V207" s="6">
        <f>IF(Table1[[#This Row],[MoL]]="Yes",55,0)</f>
        <v>0</v>
      </c>
      <c r="W207" s="6">
        <f>IF(Table1[[#This Row],[Long MoL +3 Years]]="Yes",137.5,0)</f>
        <v>0</v>
      </c>
      <c r="X207" s="6">
        <f>IF(Table1[[#This Row],[Gender]]="Female",137.5,0)</f>
        <v>0</v>
      </c>
      <c r="Y207" s="6">
        <f>IF(Table1[[#This Row],[Education]]="Bachelors +",55,0)</f>
        <v>55</v>
      </c>
      <c r="Z207" s="6">
        <f>IF(Table1[[#This Row],[Salary]]&gt;=600,82.5,0)</f>
        <v>0</v>
      </c>
    </row>
    <row r="208" spans="1:26">
      <c r="A208" s="3">
        <f>Table1[[#This Row],[SL No.]]</f>
        <v>207</v>
      </c>
      <c r="B208" t="str">
        <f>Table1[[#This Row],[Case manager]]</f>
        <v>Meaad</v>
      </c>
      <c r="C208" t="str">
        <f>Table1[[#This Row],[Ref No]]</f>
        <v>JCP/25/224511</v>
      </c>
      <c r="D208" t="str">
        <f>Table1[[#This Row],[Name]]</f>
        <v>ALAA HUSAIN ABDULGHAFOOR GHULOOM HUSAIN</v>
      </c>
      <c r="E208" s="4">
        <f>'Placements 26'!F207</f>
        <v>46260</v>
      </c>
      <c r="F208" s="4" t="str">
        <f t="shared" ca="1" si="22"/>
        <v>Claimed</v>
      </c>
      <c r="G208" s="4"/>
      <c r="H208" s="4"/>
      <c r="I208" s="4">
        <v>46265</v>
      </c>
      <c r="J208">
        <f>IF(Table3[[#This Row],[Placement Fee &amp; Variables]]&gt;0,0,1)</f>
        <v>0</v>
      </c>
      <c r="K208" s="4">
        <f>Table3[[#This Row],[Joining Date]]+180</f>
        <v>46440</v>
      </c>
      <c r="L208" t="str">
        <f t="shared" ca="1" si="23"/>
        <v/>
      </c>
      <c r="N208">
        <f ca="1">IF(Table3[[#This Row],[6M Stat]]="Claimable",1,0)</f>
        <v>0</v>
      </c>
      <c r="O208" s="4">
        <f>Table3[[#This Row],[Joining Date]]+365</f>
        <v>46625</v>
      </c>
      <c r="Q208" t="str">
        <f t="shared" ca="1" si="13"/>
        <v/>
      </c>
      <c r="R208">
        <f ca="1">IF(Table3[[#This Row],[12 M Stat]]="Claimable",1,0)</f>
        <v>0</v>
      </c>
      <c r="S208">
        <f ca="1">Table3[[#This Row],[Placement claim Highlight]]+Table3[[#This Row],[Highlight rule 6M]]+Table3[[#This Row],[Highlight rule 12 M]]</f>
        <v>0</v>
      </c>
      <c r="T208" s="6">
        <f>SUM(Table3[[#This Row],[Placement Fee]:[Salary]])</f>
        <v>82.5</v>
      </c>
      <c r="U208" s="6"/>
      <c r="V208" s="6">
        <f>IF(Table1[[#This Row],[MoL]]="Yes",55,0)</f>
        <v>0</v>
      </c>
      <c r="W208" s="6">
        <f>IF(Table1[[#This Row],[Long MoL +3 Years]]="Yes",137.5,0)</f>
        <v>0</v>
      </c>
      <c r="X208" s="6">
        <f>IF(Table1[[#This Row],[Gender]]="Female",137.5,0)</f>
        <v>0</v>
      </c>
      <c r="Y208" s="6">
        <f>IF(Table1[[#This Row],[Education]]="Bachelors +",55,0)</f>
        <v>0</v>
      </c>
      <c r="Z208" s="6">
        <f>IF(Table1[[#This Row],[Salary]]&gt;=600,82.5,0)</f>
        <v>82.5</v>
      </c>
    </row>
    <row r="209" spans="1:26">
      <c r="A209" s="3">
        <f>Table1[[#This Row],[SL No.]]</f>
        <v>208</v>
      </c>
      <c r="B209" t="str">
        <f>Table1[[#This Row],[Case manager]]</f>
        <v>Meaad</v>
      </c>
      <c r="C209" t="str">
        <f>Table1[[#This Row],[Ref No]]</f>
        <v>JCP/25/214228</v>
      </c>
      <c r="D209" t="str">
        <f>Table1[[#This Row],[Name]]</f>
        <v>RAJA YAHYA SAJJAD RAJA S I RAJAALLAH DITTA</v>
      </c>
      <c r="E209" s="4">
        <f>'Placements 26'!F208</f>
        <v>46257</v>
      </c>
      <c r="F209" s="4" t="str">
        <f t="shared" ca="1" si="22"/>
        <v>Claimable</v>
      </c>
      <c r="G209" s="4"/>
      <c r="H209" s="4"/>
      <c r="J209">
        <f>IF(Table3[[#This Row],[Placement Fee &amp; Variables]]&gt;0,0,1)</f>
        <v>1</v>
      </c>
      <c r="K209" s="4">
        <f>Table3[[#This Row],[Joining Date]]+180</f>
        <v>46437</v>
      </c>
      <c r="L209" t="str">
        <f t="shared" ca="1" si="23"/>
        <v/>
      </c>
      <c r="N209">
        <f ca="1">IF(Table3[[#This Row],[6M Stat]]="Claimable",1,0)</f>
        <v>0</v>
      </c>
      <c r="O209" s="4">
        <f>Table3[[#This Row],[Joining Date]]+365</f>
        <v>46622</v>
      </c>
      <c r="Q209" t="str">
        <f t="shared" ca="1" si="13"/>
        <v/>
      </c>
      <c r="R209">
        <f ca="1">IF(Table3[[#This Row],[12 M Stat]]="Claimable",1,0)</f>
        <v>0</v>
      </c>
      <c r="S209">
        <f ca="1">Table3[[#This Row],[Placement claim Highlight]]+Table3[[#This Row],[Highlight rule 6M]]+Table3[[#This Row],[Highlight rule 12 M]]</f>
        <v>1</v>
      </c>
      <c r="T209" s="6">
        <f>SUM(Table3[[#This Row],[Placement Fee]:[Salary]])</f>
        <v>247.5</v>
      </c>
      <c r="U209" s="6"/>
      <c r="V209" s="6">
        <f>IF(Table1[[#This Row],[MoL]]="Yes",55,0)</f>
        <v>55</v>
      </c>
      <c r="W209" s="6">
        <f>IF(Table1[[#This Row],[Long MoL +3 Years]]="Yes",137.5,0)</f>
        <v>137.5</v>
      </c>
      <c r="X209" s="6">
        <f>IF(Table1[[#This Row],[Gender]]="Female",137.5,0)</f>
        <v>0</v>
      </c>
      <c r="Y209" s="6">
        <f>IF(Table1[[#This Row],[Education]]="Bachelors +",55,0)</f>
        <v>55</v>
      </c>
      <c r="Z209" s="6">
        <f>IF(Table1[[#This Row],[Salary]]&gt;=600,82.5,0)</f>
        <v>0</v>
      </c>
    </row>
    <row r="210" spans="1:26">
      <c r="A210" s="3">
        <f>Table1[[#This Row],[SL No.]]</f>
        <v>209</v>
      </c>
      <c r="B210" t="str">
        <f>Table1[[#This Row],[Case manager]]</f>
        <v>Husain</v>
      </c>
      <c r="C210" t="str">
        <f>Table1[[#This Row],[Ref No]]</f>
        <v>JCP/26/343162</v>
      </c>
      <c r="D210" t="str">
        <f>Table1[[#This Row],[Name]]</f>
        <v>HUSSAIN ABDULJALIL ABDU HASAN</v>
      </c>
      <c r="E210" s="4">
        <f>'Placements 26'!F209</f>
        <v>46252</v>
      </c>
      <c r="F210" s="4" t="str">
        <f t="shared" ca="1" si="22"/>
        <v>Claimable</v>
      </c>
      <c r="G210" s="4"/>
      <c r="H210" s="4"/>
      <c r="J210">
        <f>IF(Table3[[#This Row],[Placement Fee &amp; Variables]]&gt;0,0,1)</f>
        <v>1</v>
      </c>
      <c r="K210" s="4">
        <f>Table3[[#This Row],[Joining Date]]+180</f>
        <v>46432</v>
      </c>
      <c r="L210" t="str">
        <f t="shared" ca="1" si="23"/>
        <v/>
      </c>
      <c r="N210">
        <f ca="1">IF(Table3[[#This Row],[6M Stat]]="Claimable",1,0)</f>
        <v>0</v>
      </c>
      <c r="O210" s="4">
        <f>Table3[[#This Row],[Joining Date]]+365</f>
        <v>46617</v>
      </c>
      <c r="Q210" t="str">
        <f t="shared" ca="1" si="13"/>
        <v/>
      </c>
      <c r="R210">
        <f ca="1">IF(Table3[[#This Row],[12 M Stat]]="Claimable",1,0)</f>
        <v>0</v>
      </c>
      <c r="S210">
        <f ca="1">Table3[[#This Row],[Placement claim Highlight]]+Table3[[#This Row],[Highlight rule 6M]]+Table3[[#This Row],[Highlight rule 12 M]]</f>
        <v>1</v>
      </c>
      <c r="T210" s="6">
        <f>SUM(Table3[[#This Row],[Placement Fee]:[Salary]])</f>
        <v>55</v>
      </c>
      <c r="U210" s="6"/>
      <c r="V210" s="6">
        <f>IF(Table1[[#This Row],[MoL]]="Yes",55,0)</f>
        <v>0</v>
      </c>
      <c r="W210" s="6">
        <f>IF(Table1[[#This Row],[Long MoL +3 Years]]="Yes",137.5,0)</f>
        <v>0</v>
      </c>
      <c r="X210" s="6">
        <f>IF(Table1[[#This Row],[Gender]]="Female",137.5,0)</f>
        <v>0</v>
      </c>
      <c r="Y210" s="6">
        <f>IF(Table1[[#This Row],[Education]]="Bachelors +",55,0)</f>
        <v>55</v>
      </c>
      <c r="Z210" s="6">
        <f>IF(Table1[[#This Row],[Salary]]&gt;=600,82.5,0)</f>
        <v>0</v>
      </c>
    </row>
    <row r="211" spans="1:26">
      <c r="A211" s="3">
        <f>Table1[[#This Row],[SL No.]]</f>
        <v>210</v>
      </c>
      <c r="B211" t="str">
        <f>Table1[[#This Row],[Case manager]]</f>
        <v>Malak</v>
      </c>
      <c r="C211" t="str">
        <f>Table1[[#This Row],[Ref No]]</f>
        <v>JCP/26/318107</v>
      </c>
      <c r="D211" t="str">
        <f>Table1[[#This Row],[Name]]</f>
        <v>FATEMA JALAL HUSAIN ABBAS</v>
      </c>
      <c r="E211" s="4">
        <f>'Placements 26'!F210</f>
        <v>46266</v>
      </c>
      <c r="F211" s="4" t="str">
        <f t="shared" ca="1" si="22"/>
        <v>Claimable</v>
      </c>
      <c r="G211" s="4" t="s">
        <v>38</v>
      </c>
      <c r="H211" s="4" t="s">
        <v>1171</v>
      </c>
      <c r="J211">
        <f>IF(Table3[[#This Row],[Placement Fee &amp; Variables]]&gt;0,0,1)</f>
        <v>1</v>
      </c>
      <c r="K211" s="4">
        <f>Table3[[#This Row],[Joining Date]]+180</f>
        <v>46446</v>
      </c>
      <c r="L211" t="str">
        <f t="shared" ca="1" si="23"/>
        <v/>
      </c>
      <c r="N211">
        <f ca="1">IF(Table3[[#This Row],[6M Stat]]="Claimable",1,0)</f>
        <v>0</v>
      </c>
      <c r="O211" s="4">
        <f>Table3[[#This Row],[Joining Date]]+365</f>
        <v>46631</v>
      </c>
      <c r="Q211" t="str">
        <f t="shared" ca="1" si="13"/>
        <v/>
      </c>
      <c r="R211">
        <f ca="1">IF(Table3[[#This Row],[12 M Stat]]="Claimable",1,0)</f>
        <v>0</v>
      </c>
      <c r="S211">
        <f ca="1">Table3[[#This Row],[Placement claim Highlight]]+Table3[[#This Row],[Highlight rule 6M]]+Table3[[#This Row],[Highlight rule 12 M]]</f>
        <v>1</v>
      </c>
      <c r="T211" s="6">
        <f>SUM(Table3[[#This Row],[Placement Fee]:[Salary]])</f>
        <v>220</v>
      </c>
      <c r="U211" s="6"/>
      <c r="V211" s="6">
        <f>IF(Table1[[#This Row],[MoL]]="Yes",55,0)</f>
        <v>0</v>
      </c>
      <c r="W211" s="6">
        <f>IF(Table1[[#This Row],[Long MoL +3 Years]]="Yes",137.5,0)</f>
        <v>0</v>
      </c>
      <c r="X211" s="6">
        <f>IF(Table1[[#This Row],[Gender]]="Female",137.5,0)</f>
        <v>137.5</v>
      </c>
      <c r="Y211" s="6">
        <f>IF(Table1[[#This Row],[Education]]="Bachelors +",55,0)</f>
        <v>0</v>
      </c>
      <c r="Z211" s="6">
        <f>IF(Table1[[#This Row],[Salary]]&gt;=600,82.5,0)</f>
        <v>82.5</v>
      </c>
    </row>
    <row r="212" spans="1:26">
      <c r="A212" s="3">
        <f>Table1[[#This Row],[SL No.]]</f>
        <v>211</v>
      </c>
      <c r="B212" t="str">
        <f>Table1[[#This Row],[Case manager]]</f>
        <v>Zainab Almaroom</v>
      </c>
      <c r="C212" t="str">
        <f>Table1[[#This Row],[Ref No]]</f>
        <v>JCP/26/342995</v>
      </c>
      <c r="D212" t="str">
        <f>Table1[[#This Row],[Name]]</f>
        <v>MAHMOOD HABIB ABDALI HUSAIN</v>
      </c>
      <c r="E212" s="4">
        <f>'Placements 26'!F211</f>
        <v>46257</v>
      </c>
      <c r="F212" s="4" t="str">
        <f t="shared" ca="1" si="22"/>
        <v>Claimed</v>
      </c>
      <c r="G212" s="4"/>
      <c r="H212" s="4"/>
      <c r="I212" s="4">
        <v>46272</v>
      </c>
      <c r="J212">
        <f>IF(Table3[[#This Row],[Placement Fee &amp; Variables]]&gt;0,0,1)</f>
        <v>0</v>
      </c>
      <c r="K212" s="4">
        <f>Table3[[#This Row],[Joining Date]]+180</f>
        <v>46437</v>
      </c>
      <c r="L212" t="str">
        <f t="shared" ca="1" si="23"/>
        <v/>
      </c>
      <c r="N212">
        <f ca="1">IF(Table3[[#This Row],[6M Stat]]="Claimable",1,0)</f>
        <v>0</v>
      </c>
      <c r="O212" s="4">
        <f>Table3[[#This Row],[Joining Date]]+365</f>
        <v>46622</v>
      </c>
      <c r="Q212" t="str">
        <f t="shared" ca="1" si="13"/>
        <v/>
      </c>
      <c r="R212">
        <f ca="1">IF(Table3[[#This Row],[12 M Stat]]="Claimable",1,0)</f>
        <v>0</v>
      </c>
      <c r="S212">
        <f ca="1">Table3[[#This Row],[Placement claim Highlight]]+Table3[[#This Row],[Highlight rule 6M]]+Table3[[#This Row],[Highlight rule 12 M]]</f>
        <v>0</v>
      </c>
      <c r="T212" s="6">
        <f>SUM(Table3[[#This Row],[Placement Fee]:[Salary]])</f>
        <v>0</v>
      </c>
      <c r="U212" s="6"/>
      <c r="V212" s="6">
        <f>IF(Table1[[#This Row],[MoL]]="Yes",55,0)</f>
        <v>0</v>
      </c>
      <c r="W212" s="6">
        <f>IF(Table1[[#This Row],[Long MoL +3 Years]]="Yes",137.5,0)</f>
        <v>0</v>
      </c>
      <c r="X212" s="6">
        <f>IF(Table1[[#This Row],[Gender]]="Female",137.5,0)</f>
        <v>0</v>
      </c>
      <c r="Y212" s="6">
        <f>IF(Table1[[#This Row],[Education]]="Bachelors +",55,0)</f>
        <v>0</v>
      </c>
      <c r="Z212" s="6">
        <f>IF(Table1[[#This Row],[Salary]]&gt;=600,82.5,0)</f>
        <v>0</v>
      </c>
    </row>
    <row r="213" spans="1:26">
      <c r="A213" s="3">
        <f>Table1[[#This Row],[SL No.]]</f>
        <v>212</v>
      </c>
      <c r="B213" t="str">
        <f>Table1[[#This Row],[Case manager]]</f>
        <v>Meaad</v>
      </c>
      <c r="C213" t="str">
        <f>Table1[[#This Row],[Ref No]]</f>
        <v>JCP/26/339045</v>
      </c>
      <c r="D213" t="str">
        <f>Table1[[#This Row],[Name]]</f>
        <v>FADHUL HUSAIN MANSOOR NASER</v>
      </c>
      <c r="E213" s="4">
        <f>'Placements 26'!F212</f>
        <v>46266</v>
      </c>
      <c r="F213" s="4" t="str">
        <f t="shared" ca="1" si="22"/>
        <v>Claimed</v>
      </c>
      <c r="G213" s="4"/>
      <c r="H213" s="4"/>
      <c r="I213" s="4">
        <v>46275</v>
      </c>
      <c r="J213">
        <f>IF(Table3[[#This Row],[Placement Fee &amp; Variables]]&gt;0,0,1)</f>
        <v>0</v>
      </c>
      <c r="K213" s="4">
        <f>Table3[[#This Row],[Joining Date]]+180</f>
        <v>46446</v>
      </c>
      <c r="L213" t="str">
        <f t="shared" ca="1" si="23"/>
        <v/>
      </c>
      <c r="N213">
        <f ca="1">IF(Table3[[#This Row],[6M Stat]]="Claimable",1,0)</f>
        <v>0</v>
      </c>
      <c r="O213" s="4">
        <f>Table3[[#This Row],[Joining Date]]+365</f>
        <v>46631</v>
      </c>
      <c r="Q213" t="str">
        <f t="shared" ca="1" si="13"/>
        <v/>
      </c>
      <c r="R213">
        <f ca="1">IF(Table3[[#This Row],[12 M Stat]]="Claimable",1,0)</f>
        <v>0</v>
      </c>
      <c r="S213">
        <f ca="1">Table3[[#This Row],[Placement claim Highlight]]+Table3[[#This Row],[Highlight rule 6M]]+Table3[[#This Row],[Highlight rule 12 M]]</f>
        <v>0</v>
      </c>
      <c r="T213" s="6">
        <f>SUM(Table3[[#This Row],[Placement Fee]:[Salary]])</f>
        <v>192.5</v>
      </c>
      <c r="U213" s="6"/>
      <c r="V213" s="6">
        <f>IF(Table1[[#This Row],[MoL]]="Yes",55,0)</f>
        <v>55</v>
      </c>
      <c r="W213" s="6">
        <f>IF(Table1[[#This Row],[Long MoL +3 Years]]="Yes",137.5,0)</f>
        <v>137.5</v>
      </c>
      <c r="X213" s="6">
        <f>IF(Table1[[#This Row],[Gender]]="Female",137.5,0)</f>
        <v>0</v>
      </c>
      <c r="Y213" s="6">
        <f>IF(Table1[[#This Row],[Education]]="Bachelors +",55,0)</f>
        <v>0</v>
      </c>
      <c r="Z213" s="6">
        <f>IF(Table1[[#This Row],[Salary]]&gt;=600,82.5,0)</f>
        <v>0</v>
      </c>
    </row>
    <row r="214" spans="1:26">
      <c r="A214" s="3">
        <f>Table1[[#This Row],[SL No.]]</f>
        <v>213</v>
      </c>
      <c r="B214" t="str">
        <f>Table1[[#This Row],[Case manager]]</f>
        <v>Zainab Mattar</v>
      </c>
      <c r="C214" t="str">
        <f>Table1[[#This Row],[Ref No]]</f>
        <v>JCP/25/259687</v>
      </c>
      <c r="D214" t="str">
        <f>Table1[[#This Row],[Name]]</f>
        <v>ALAA ABDULAZIZ MOHAMED ALKOOHEJI</v>
      </c>
      <c r="E214" s="4">
        <f>'Placements 26'!F213</f>
        <v>46253</v>
      </c>
      <c r="F214" s="4" t="str">
        <f t="shared" ca="1" si="22"/>
        <v>Claimed</v>
      </c>
      <c r="G214" s="4"/>
      <c r="H214" s="4"/>
      <c r="I214" s="4">
        <v>46275</v>
      </c>
      <c r="J214">
        <f>IF(Table3[[#This Row],[Placement Fee &amp; Variables]]&gt;0,0,1)</f>
        <v>0</v>
      </c>
      <c r="K214" s="4">
        <f>Table3[[#This Row],[Joining Date]]+180</f>
        <v>46433</v>
      </c>
      <c r="L214" t="str">
        <f t="shared" ca="1" si="23"/>
        <v/>
      </c>
      <c r="N214">
        <f ca="1">IF(Table3[[#This Row],[6M Stat]]="Claimable",1,0)</f>
        <v>0</v>
      </c>
      <c r="O214" s="4">
        <f>Table3[[#This Row],[Joining Date]]+365</f>
        <v>46618</v>
      </c>
      <c r="Q214" t="str">
        <f t="shared" ca="1" si="13"/>
        <v/>
      </c>
      <c r="R214">
        <f ca="1">IF(Table3[[#This Row],[12 M Stat]]="Claimable",1,0)</f>
        <v>0</v>
      </c>
      <c r="S214">
        <f ca="1">Table3[[#This Row],[Placement claim Highlight]]+Table3[[#This Row],[Highlight rule 6M]]+Table3[[#This Row],[Highlight rule 12 M]]</f>
        <v>0</v>
      </c>
      <c r="T214" s="6">
        <f>SUM(Table3[[#This Row],[Placement Fee]:[Salary]])</f>
        <v>192.5</v>
      </c>
      <c r="U214" s="6"/>
      <c r="V214" s="6">
        <f>IF(Table1[[#This Row],[MoL]]="Yes",55,0)</f>
        <v>0</v>
      </c>
      <c r="W214" s="6">
        <f>IF(Table1[[#This Row],[Long MoL +3 Years]]="Yes",137.5,0)</f>
        <v>0</v>
      </c>
      <c r="X214" s="6">
        <f>IF(Table1[[#This Row],[Gender]]="Female",137.5,0)</f>
        <v>137.5</v>
      </c>
      <c r="Y214" s="6">
        <f>IF(Table1[[#This Row],[Education]]="Bachelors +",55,0)</f>
        <v>55</v>
      </c>
      <c r="Z214" s="6">
        <f>IF(Table1[[#This Row],[Salary]]&gt;=600,82.5,0)</f>
        <v>0</v>
      </c>
    </row>
    <row r="215" spans="1:26">
      <c r="A215" s="3">
        <f>Table1[[#This Row],[SL No.]]</f>
        <v>214</v>
      </c>
      <c r="B215" t="str">
        <f>Table1[[#This Row],[Case manager]]</f>
        <v>Meaad</v>
      </c>
      <c r="C215" t="str">
        <f>Table1[[#This Row],[Ref No]]</f>
        <v>JCP/26/305104</v>
      </c>
      <c r="D215" t="str">
        <f>Table1[[#This Row],[Name]]</f>
        <v>Zahra Abdulameer Hasan Alsamak</v>
      </c>
      <c r="E215" s="4">
        <f>'Placements 26'!F214</f>
        <v>46266</v>
      </c>
      <c r="F215" s="4" t="str">
        <f t="shared" ca="1" si="22"/>
        <v>Claimed</v>
      </c>
      <c r="G215" s="4"/>
      <c r="H215" s="4"/>
      <c r="I215" s="4">
        <v>46275</v>
      </c>
      <c r="J215">
        <f>IF(Table3[[#This Row],[Placement Fee &amp; Variables]]&gt;0,0,1)</f>
        <v>0</v>
      </c>
      <c r="K215" s="4">
        <f>Table3[[#This Row],[Joining Date]]+180</f>
        <v>46446</v>
      </c>
      <c r="L215" t="str">
        <f t="shared" ca="1" si="23"/>
        <v/>
      </c>
      <c r="N215">
        <f ca="1">IF(Table3[[#This Row],[6M Stat]]="Claimable",1,0)</f>
        <v>0</v>
      </c>
      <c r="O215" s="4">
        <f>Table3[[#This Row],[Joining Date]]+365</f>
        <v>46631</v>
      </c>
      <c r="Q215" t="str">
        <f t="shared" ca="1" si="13"/>
        <v/>
      </c>
      <c r="R215">
        <f ca="1">IF(Table3[[#This Row],[12 M Stat]]="Claimable",1,0)</f>
        <v>0</v>
      </c>
      <c r="S215">
        <f ca="1">Table3[[#This Row],[Placement claim Highlight]]+Table3[[#This Row],[Highlight rule 6M]]+Table3[[#This Row],[Highlight rule 12 M]]</f>
        <v>0</v>
      </c>
      <c r="T215" s="6">
        <f>SUM(Table3[[#This Row],[Placement Fee]:[Salary]])</f>
        <v>385</v>
      </c>
      <c r="U215" s="6"/>
      <c r="V215" s="6">
        <f>IF(Table1[[#This Row],[MoL]]="Yes",55,0)</f>
        <v>55</v>
      </c>
      <c r="W215" s="6">
        <f>IF(Table1[[#This Row],[Long MoL +3 Years]]="Yes",137.5,0)</f>
        <v>137.5</v>
      </c>
      <c r="X215" s="6">
        <f>IF(Table1[[#This Row],[Gender]]="Female",137.5,0)</f>
        <v>137.5</v>
      </c>
      <c r="Y215" s="6">
        <f>IF(Table1[[#This Row],[Education]]="Bachelors +",55,0)</f>
        <v>55</v>
      </c>
      <c r="Z215" s="6">
        <f>IF(Table1[[#This Row],[Salary]]&gt;=600,82.5,0)</f>
        <v>0</v>
      </c>
    </row>
    <row r="216" spans="1:26">
      <c r="A216" s="3">
        <f>Table1[[#This Row],[SL No.]]</f>
        <v>215</v>
      </c>
      <c r="B216" t="str">
        <f>Table1[[#This Row],[Case manager]]</f>
        <v>Meaad</v>
      </c>
      <c r="C216" t="str">
        <f>Table1[[#This Row],[Ref No]]</f>
        <v>JCP/26/334020</v>
      </c>
      <c r="D216" t="str">
        <f>Table1[[#This Row],[Name]]</f>
        <v>ALIA TARADA</v>
      </c>
      <c r="E216" s="4">
        <f>'Placements 26'!F215</f>
        <v>46266</v>
      </c>
      <c r="F216" s="4" t="str">
        <f t="shared" ca="1" si="22"/>
        <v>Claimed</v>
      </c>
      <c r="G216" s="4"/>
      <c r="H216" s="4"/>
      <c r="I216" s="4">
        <v>46275</v>
      </c>
      <c r="J216">
        <f>IF(Table3[[#This Row],[Placement Fee &amp; Variables]]&gt;0,0,1)</f>
        <v>0</v>
      </c>
      <c r="K216" s="4">
        <f>Table3[[#This Row],[Joining Date]]+180</f>
        <v>46446</v>
      </c>
      <c r="L216" t="str">
        <f t="shared" ca="1" si="23"/>
        <v/>
      </c>
      <c r="N216">
        <f ca="1">IF(Table3[[#This Row],[6M Stat]]="Claimable",1,0)</f>
        <v>0</v>
      </c>
      <c r="O216" s="4">
        <f>Table3[[#This Row],[Joining Date]]+365</f>
        <v>46631</v>
      </c>
      <c r="Q216" t="str">
        <f t="shared" ca="1" si="13"/>
        <v/>
      </c>
      <c r="R216">
        <f ca="1">IF(Table3[[#This Row],[12 M Stat]]="Claimable",1,0)</f>
        <v>0</v>
      </c>
      <c r="S216">
        <f ca="1">Table3[[#This Row],[Placement claim Highlight]]+Table3[[#This Row],[Highlight rule 6M]]+Table3[[#This Row],[Highlight rule 12 M]]</f>
        <v>0</v>
      </c>
      <c r="T216" s="6">
        <f>SUM(Table3[[#This Row],[Placement Fee]:[Salary]])</f>
        <v>137.5</v>
      </c>
      <c r="U216" s="6"/>
      <c r="V216" s="6">
        <f>IF(Table1[[#This Row],[MoL]]="Yes",55,0)</f>
        <v>0</v>
      </c>
      <c r="W216" s="6">
        <f>IF(Table1[[#This Row],[Long MoL +3 Years]]="Yes",137.5,0)</f>
        <v>0</v>
      </c>
      <c r="X216" s="6">
        <f>IF(Table1[[#This Row],[Gender]]="Female",137.5,0)</f>
        <v>137.5</v>
      </c>
      <c r="Y216" s="6">
        <f>IF(Table1[[#This Row],[Education]]="Bachelors +",55,0)</f>
        <v>0</v>
      </c>
      <c r="Z216" s="6">
        <f>IF(Table1[[#This Row],[Salary]]&gt;=600,82.5,0)</f>
        <v>0</v>
      </c>
    </row>
    <row r="217" spans="1:26">
      <c r="A217" s="3">
        <f>Table1[[#This Row],[SL No.]]</f>
        <v>216</v>
      </c>
      <c r="B217" t="str">
        <f>Table1[[#This Row],[Case manager]]</f>
        <v>Malak</v>
      </c>
      <c r="C217" t="str">
        <f>Table1[[#This Row],[Ref No]]</f>
        <v>JCP/26/334354</v>
      </c>
      <c r="D217" t="str">
        <f>Table1[[#This Row],[Name]]</f>
        <v>DANA ANWAR YUSUF RAMADHAN ABDULLA ALMULLA</v>
      </c>
      <c r="E217" s="4">
        <f>'Placements 26'!F216</f>
        <v>46266</v>
      </c>
      <c r="F217" s="4" t="str">
        <f t="shared" ca="1" si="22"/>
        <v>Claimed</v>
      </c>
      <c r="G217" s="4"/>
      <c r="H217" s="4"/>
      <c r="I217" s="4">
        <v>46275</v>
      </c>
      <c r="J217">
        <f>IF(Table3[[#This Row],[Placement Fee &amp; Variables]]&gt;0,0,1)</f>
        <v>0</v>
      </c>
      <c r="K217" s="4">
        <f>Table3[[#This Row],[Joining Date]]+180</f>
        <v>46446</v>
      </c>
      <c r="L217" t="str">
        <f t="shared" ca="1" si="23"/>
        <v/>
      </c>
      <c r="N217">
        <f ca="1">IF(Table3[[#This Row],[6M Stat]]="Claimable",1,0)</f>
        <v>0</v>
      </c>
      <c r="O217" s="4">
        <f>Table3[[#This Row],[Joining Date]]+365</f>
        <v>46631</v>
      </c>
      <c r="Q217" t="str">
        <f t="shared" ca="1" si="13"/>
        <v/>
      </c>
      <c r="R217">
        <f ca="1">IF(Table3[[#This Row],[12 M Stat]]="Claimable",1,0)</f>
        <v>0</v>
      </c>
      <c r="S217">
        <f ca="1">Table3[[#This Row],[Placement claim Highlight]]+Table3[[#This Row],[Highlight rule 6M]]+Table3[[#This Row],[Highlight rule 12 M]]</f>
        <v>0</v>
      </c>
      <c r="T217" s="6">
        <f>SUM(Table3[[#This Row],[Placement Fee]:[Salary]])</f>
        <v>247.5</v>
      </c>
      <c r="U217" s="6"/>
      <c r="V217" s="6">
        <f>IF(Table1[[#This Row],[MoL]]="Yes",55,0)</f>
        <v>55</v>
      </c>
      <c r="W217" s="6">
        <f>IF(Table1[[#This Row],[Long MoL +3 Years]]="Yes",137.5,0)</f>
        <v>0</v>
      </c>
      <c r="X217" s="6">
        <f>IF(Table1[[#This Row],[Gender]]="Female",137.5,0)</f>
        <v>137.5</v>
      </c>
      <c r="Y217" s="6">
        <f>IF(Table1[[#This Row],[Education]]="Bachelors +",55,0)</f>
        <v>55</v>
      </c>
      <c r="Z217" s="6">
        <f>IF(Table1[[#This Row],[Salary]]&gt;=600,82.5,0)</f>
        <v>0</v>
      </c>
    </row>
    <row r="218" spans="1:26">
      <c r="A218" s="3">
        <f>Table1[[#This Row],[SL No.]]</f>
        <v>217</v>
      </c>
      <c r="B218" t="str">
        <f>Table1[[#This Row],[Case manager]]</f>
        <v>Dina</v>
      </c>
      <c r="C218" t="str">
        <f>Table1[[#This Row],[Ref No]]</f>
        <v>JCP/26/339201</v>
      </c>
      <c r="D218" t="str">
        <f>Table1[[#This Row],[Name]]</f>
        <v>fatema hamza abdulla</v>
      </c>
      <c r="E218" s="4">
        <f>'Placements 26'!F217</f>
        <v>46266</v>
      </c>
      <c r="F218" s="4" t="str">
        <f t="shared" ca="1" si="22"/>
        <v>Claimed</v>
      </c>
      <c r="G218" s="4"/>
      <c r="H218" s="4"/>
      <c r="I218" s="4">
        <v>46275</v>
      </c>
      <c r="J218">
        <f>IF(Table3[[#This Row],[Placement Fee &amp; Variables]]&gt;0,0,1)</f>
        <v>0</v>
      </c>
      <c r="K218" s="4">
        <f>Table3[[#This Row],[Joining Date]]+180</f>
        <v>46446</v>
      </c>
      <c r="L218" t="str">
        <f t="shared" ca="1" si="23"/>
        <v/>
      </c>
      <c r="N218">
        <f ca="1">IF(Table3[[#This Row],[6M Stat]]="Claimable",1,0)</f>
        <v>0</v>
      </c>
      <c r="O218" s="4">
        <f>Table3[[#This Row],[Joining Date]]+365</f>
        <v>46631</v>
      </c>
      <c r="Q218" t="str">
        <f t="shared" ca="1" si="13"/>
        <v/>
      </c>
      <c r="R218">
        <f ca="1">IF(Table3[[#This Row],[12 M Stat]]="Claimable",1,0)</f>
        <v>0</v>
      </c>
      <c r="S218">
        <f ca="1">Table3[[#This Row],[Placement claim Highlight]]+Table3[[#This Row],[Highlight rule 6M]]+Table3[[#This Row],[Highlight rule 12 M]]</f>
        <v>0</v>
      </c>
      <c r="T218" s="6">
        <f>SUM(Table3[[#This Row],[Placement Fee]:[Salary]])</f>
        <v>330</v>
      </c>
      <c r="U218" s="6"/>
      <c r="V218" s="6">
        <f>IF(Table1[[#This Row],[MoL]]="Yes",55,0)</f>
        <v>55</v>
      </c>
      <c r="W218" s="6">
        <f>IF(Table1[[#This Row],[Long MoL +3 Years]]="Yes",137.5,0)</f>
        <v>137.5</v>
      </c>
      <c r="X218" s="6">
        <f>IF(Table1[[#This Row],[Gender]]="Female",137.5,0)</f>
        <v>137.5</v>
      </c>
      <c r="Y218" s="6">
        <f>IF(Table1[[#This Row],[Education]]="Bachelors +",55,0)</f>
        <v>0</v>
      </c>
      <c r="Z218" s="6">
        <f>IF(Table1[[#This Row],[Salary]]&gt;=600,82.5,0)</f>
        <v>0</v>
      </c>
    </row>
    <row r="219" spans="1:26">
      <c r="A219" s="3">
        <f>Table1[[#This Row],[SL No.]]</f>
        <v>218</v>
      </c>
      <c r="B219" t="str">
        <f>Table1[[#This Row],[Case manager]]</f>
        <v>Dina</v>
      </c>
      <c r="C219" t="str">
        <f>Table1[[#This Row],[Ref No]]</f>
        <v>JCP/26/346550</v>
      </c>
      <c r="D219" t="str">
        <f>Table1[[#This Row],[Name]]</f>
        <v>Majed Ali Ismaeel</v>
      </c>
      <c r="E219" s="4">
        <f>'Placements 26'!F218</f>
        <v>46266</v>
      </c>
      <c r="F219" s="4" t="str">
        <f t="shared" ca="1" si="22"/>
        <v>Claimed</v>
      </c>
      <c r="G219" s="4"/>
      <c r="H219" s="4"/>
      <c r="I219" s="4">
        <v>46287</v>
      </c>
      <c r="J219">
        <f>IF(Table3[[#This Row],[Placement Fee &amp; Variables]]&gt;0,0,1)</f>
        <v>0</v>
      </c>
      <c r="K219" s="4">
        <f>Table3[[#This Row],[Joining Date]]+180</f>
        <v>46446</v>
      </c>
      <c r="L219" t="str">
        <f t="shared" ca="1" si="23"/>
        <v/>
      </c>
      <c r="N219">
        <f ca="1">IF(Table3[[#This Row],[6M Stat]]="Claimable",1,0)</f>
        <v>0</v>
      </c>
      <c r="O219" s="4">
        <f>Table3[[#This Row],[Joining Date]]+365</f>
        <v>46631</v>
      </c>
      <c r="Q219" t="str">
        <f t="shared" ca="1" si="13"/>
        <v/>
      </c>
      <c r="R219">
        <f ca="1">IF(Table3[[#This Row],[12 M Stat]]="Claimable",1,0)</f>
        <v>0</v>
      </c>
      <c r="S219">
        <f ca="1">Table3[[#This Row],[Placement claim Highlight]]+Table3[[#This Row],[Highlight rule 6M]]+Table3[[#This Row],[Highlight rule 12 M]]</f>
        <v>0</v>
      </c>
      <c r="T219" s="6">
        <f>SUM(Table3[[#This Row],[Placement Fee]:[Salary]])</f>
        <v>330</v>
      </c>
      <c r="U219" s="6"/>
      <c r="V219" s="6">
        <f>IF(Table1[[#This Row],[MoL]]="Yes",55,0)</f>
        <v>55</v>
      </c>
      <c r="W219" s="6">
        <f>IF(Table1[[#This Row],[Long MoL +3 Years]]="Yes",137.5,0)</f>
        <v>137.5</v>
      </c>
      <c r="X219" s="6">
        <f>IF(Table1[[#This Row],[Gender]]="Female",137.5,0)</f>
        <v>0</v>
      </c>
      <c r="Y219" s="6">
        <f>IF(Table1[[#This Row],[Education]]="Bachelors +",55,0)</f>
        <v>55</v>
      </c>
      <c r="Z219" s="6">
        <f>IF(Table1[[#This Row],[Salary]]&gt;=600,82.5,0)</f>
        <v>82.5</v>
      </c>
    </row>
    <row r="220" spans="1:26">
      <c r="A220" s="3">
        <f>Table1[[#This Row],[SL No.]]</f>
        <v>219</v>
      </c>
      <c r="B220" t="str">
        <f>Table1[[#This Row],[Case manager]]</f>
        <v>Zainab Mattar</v>
      </c>
      <c r="C220" t="str">
        <f>Table1[[#This Row],[Ref No]]</f>
        <v>JCP/26/343089</v>
      </c>
      <c r="D220" t="str">
        <f>Table1[[#This Row],[Name]]</f>
        <v>MOHAMED JABER ALI ALSHOWAIKH</v>
      </c>
      <c r="E220" s="4">
        <f>'Placements 26'!F219</f>
        <v>46280</v>
      </c>
      <c r="F220" s="4" t="str">
        <f t="shared" ca="1" si="22"/>
        <v>Claimed</v>
      </c>
      <c r="G220" s="4"/>
      <c r="H220" s="4"/>
      <c r="I220" s="4">
        <v>46273</v>
      </c>
      <c r="J220">
        <f>IF(Table3[[#This Row],[Placement Fee &amp; Variables]]&gt;0,0,1)</f>
        <v>0</v>
      </c>
      <c r="K220" s="4">
        <f>Table3[[#This Row],[Joining Date]]+180</f>
        <v>46460</v>
      </c>
      <c r="L220" t="str">
        <f t="shared" ca="1" si="23"/>
        <v/>
      </c>
      <c r="N220">
        <f ca="1">IF(Table3[[#This Row],[6M Stat]]="Claimable",1,0)</f>
        <v>0</v>
      </c>
      <c r="O220" s="4">
        <f>Table3[[#This Row],[Joining Date]]+365</f>
        <v>46645</v>
      </c>
      <c r="Q220" t="str">
        <f t="shared" ca="1" si="13"/>
        <v/>
      </c>
      <c r="R220">
        <f ca="1">IF(Table3[[#This Row],[12 M Stat]]="Claimable",1,0)</f>
        <v>0</v>
      </c>
      <c r="S220">
        <f ca="1">Table3[[#This Row],[Placement claim Highlight]]+Table3[[#This Row],[Highlight rule 6M]]+Table3[[#This Row],[Highlight rule 12 M]]</f>
        <v>0</v>
      </c>
      <c r="T220" s="6">
        <f>SUM(Table3[[#This Row],[Placement Fee]:[Salary]])</f>
        <v>137.5</v>
      </c>
      <c r="U220" s="6"/>
      <c r="V220" s="6">
        <f>IF(Table1[[#This Row],[MoL]]="Yes",55,0)</f>
        <v>55</v>
      </c>
      <c r="W220" s="6">
        <f>IF(Table1[[#This Row],[Long MoL +3 Years]]="Yes",137.5,0)</f>
        <v>0</v>
      </c>
      <c r="X220" s="6">
        <f>IF(Table1[[#This Row],[Gender]]="Female",137.5,0)</f>
        <v>0</v>
      </c>
      <c r="Y220" s="6">
        <f>IF(Table1[[#This Row],[Education]]="Bachelors +",55,0)</f>
        <v>0</v>
      </c>
      <c r="Z220" s="6">
        <f>IF(Table1[[#This Row],[Salary]]&gt;=600,82.5,0)</f>
        <v>82.5</v>
      </c>
    </row>
    <row r="221" spans="1:26">
      <c r="A221" s="3">
        <f>Table1[[#This Row],[SL No.]]</f>
        <v>220</v>
      </c>
      <c r="B221" t="str">
        <f>Table1[[#This Row],[Case manager]]</f>
        <v>Zainab Mattar</v>
      </c>
      <c r="C221" t="str">
        <f>Table1[[#This Row],[Ref No]]</f>
        <v>JCP/26/298902</v>
      </c>
      <c r="D221" t="str">
        <f>Table1[[#This Row],[Name]]</f>
        <v>Ahmed Alkangooni</v>
      </c>
      <c r="E221" s="4">
        <f>'Placements 26'!F220</f>
        <v>46266</v>
      </c>
      <c r="F221" s="4" t="str">
        <f t="shared" ca="1" si="22"/>
        <v>Claimed</v>
      </c>
      <c r="G221" s="4"/>
      <c r="H221" s="4"/>
      <c r="I221" s="4">
        <v>46285</v>
      </c>
      <c r="J221">
        <f>IF(Table3[[#This Row],[Placement Fee &amp; Variables]]&gt;0,0,1)</f>
        <v>0</v>
      </c>
      <c r="K221" s="4">
        <f>Table3[[#This Row],[Joining Date]]+180</f>
        <v>46446</v>
      </c>
      <c r="L221" t="str">
        <f t="shared" ca="1" si="23"/>
        <v/>
      </c>
      <c r="N221">
        <f ca="1">IF(Table3[[#This Row],[6M Stat]]="Claimable",1,0)</f>
        <v>0</v>
      </c>
      <c r="O221" s="4">
        <f>Table3[[#This Row],[Joining Date]]+365</f>
        <v>46631</v>
      </c>
      <c r="Q221" t="str">
        <f t="shared" ca="1" si="13"/>
        <v/>
      </c>
      <c r="R221">
        <f ca="1">IF(Table3[[#This Row],[12 M Stat]]="Claimable",1,0)</f>
        <v>0</v>
      </c>
      <c r="S221">
        <f ca="1">Table3[[#This Row],[Placement claim Highlight]]+Table3[[#This Row],[Highlight rule 6M]]+Table3[[#This Row],[Highlight rule 12 M]]</f>
        <v>0</v>
      </c>
      <c r="T221" s="6">
        <f>SUM(Table3[[#This Row],[Placement Fee]:[Salary]])</f>
        <v>330</v>
      </c>
      <c r="U221" s="6"/>
      <c r="V221" s="6">
        <f>IF(Table1[[#This Row],[MoL]]="Yes",55,0)</f>
        <v>55</v>
      </c>
      <c r="W221" s="6">
        <f>IF(Table1[[#This Row],[Long MoL +3 Years]]="Yes",137.5,0)</f>
        <v>137.5</v>
      </c>
      <c r="X221" s="6">
        <f>IF(Table1[[#This Row],[Gender]]="Female",137.5,0)</f>
        <v>0</v>
      </c>
      <c r="Y221" s="6">
        <f>IF(Table1[[#This Row],[Education]]="Bachelors +",55,0)</f>
        <v>55</v>
      </c>
      <c r="Z221" s="6">
        <f>IF(Table1[[#This Row],[Salary]]&gt;=600,82.5,0)</f>
        <v>82.5</v>
      </c>
    </row>
    <row r="222" spans="1:26">
      <c r="A222" s="3">
        <f>Table1[[#This Row],[SL No.]]</f>
        <v>221</v>
      </c>
      <c r="B222" t="str">
        <f>Table1[[#This Row],[Case manager]]</f>
        <v>Zainab Mattar</v>
      </c>
      <c r="C222" t="str">
        <f>Table1[[#This Row],[Ref No]]</f>
        <v>JCP/26/334349</v>
      </c>
      <c r="D222" t="str">
        <f>Table1[[#This Row],[Name]]</f>
        <v>AMANI JAAFAR MAHDI AHMED HASAN</v>
      </c>
      <c r="E222" s="4">
        <f>'Placements 26'!F221</f>
        <v>46266</v>
      </c>
      <c r="F222" s="4" t="str">
        <f t="shared" ca="1" si="22"/>
        <v>Claimed</v>
      </c>
      <c r="G222" s="4"/>
      <c r="H222" s="4"/>
      <c r="I222" s="4">
        <v>46280</v>
      </c>
      <c r="J222">
        <f>IF(Table3[[#This Row],[Placement Fee &amp; Variables]]&gt;0,0,1)</f>
        <v>0</v>
      </c>
      <c r="K222" s="4">
        <f>Table3[[#This Row],[Joining Date]]+180</f>
        <v>46446</v>
      </c>
      <c r="L222" t="str">
        <f t="shared" ca="1" si="23"/>
        <v/>
      </c>
      <c r="N222">
        <f ca="1">IF(Table3[[#This Row],[6M Stat]]="Claimable",1,0)</f>
        <v>0</v>
      </c>
      <c r="O222" s="4">
        <f>Table3[[#This Row],[Joining Date]]+365</f>
        <v>46631</v>
      </c>
      <c r="Q222" t="str">
        <f t="shared" ca="1" si="13"/>
        <v/>
      </c>
      <c r="R222">
        <f ca="1">IF(Table3[[#This Row],[12 M Stat]]="Claimable",1,0)</f>
        <v>0</v>
      </c>
      <c r="S222">
        <f ca="1">Table3[[#This Row],[Placement claim Highlight]]+Table3[[#This Row],[Highlight rule 6M]]+Table3[[#This Row],[Highlight rule 12 M]]</f>
        <v>0</v>
      </c>
      <c r="T222" s="6">
        <f>SUM(Table3[[#This Row],[Placement Fee]:[Salary]])</f>
        <v>247.5</v>
      </c>
      <c r="U222" s="6"/>
      <c r="V222" s="6">
        <f>IF(Table1[[#This Row],[MoL]]="Yes",55,0)</f>
        <v>55</v>
      </c>
      <c r="W222" s="6">
        <f>IF(Table1[[#This Row],[Long MoL +3 Years]]="Yes",137.5,0)</f>
        <v>0</v>
      </c>
      <c r="X222" s="6">
        <f>IF(Table1[[#This Row],[Gender]]="Female",137.5,0)</f>
        <v>137.5</v>
      </c>
      <c r="Y222" s="6">
        <f>IF(Table1[[#This Row],[Education]]="Bachelors +",55,0)</f>
        <v>55</v>
      </c>
      <c r="Z222" s="6">
        <f>IF(Table1[[#This Row],[Salary]]&gt;=600,82.5,0)</f>
        <v>0</v>
      </c>
    </row>
    <row r="223" spans="1:26">
      <c r="A223" s="3">
        <f>Table1[[#This Row],[SL No.]]</f>
        <v>222</v>
      </c>
      <c r="B223" t="str">
        <f>Table1[[#This Row],[Case manager]]</f>
        <v>Zainab Mattar</v>
      </c>
      <c r="C223" t="str">
        <f>Table1[[#This Row],[Ref No]]</f>
        <v>JCP/26/314447</v>
      </c>
      <c r="D223" t="str">
        <f>Table1[[#This Row],[Name]]</f>
        <v>ALI MOHAMED JAAFAR MANSOOR OMRAN ABDULLA</v>
      </c>
      <c r="E223" s="4">
        <f>'Placements 26'!F222</f>
        <v>46266</v>
      </c>
      <c r="F223" s="4" t="str">
        <f t="shared" ca="1" si="22"/>
        <v>Claimed</v>
      </c>
      <c r="G223" s="4"/>
      <c r="H223" s="4"/>
      <c r="I223" s="4">
        <v>46273</v>
      </c>
      <c r="J223">
        <f>IF(Table3[[#This Row],[Placement Fee &amp; Variables]]&gt;0,0,1)</f>
        <v>0</v>
      </c>
      <c r="K223" s="4">
        <f>Table3[[#This Row],[Joining Date]]+180</f>
        <v>46446</v>
      </c>
      <c r="L223" t="str">
        <f t="shared" ca="1" si="23"/>
        <v/>
      </c>
      <c r="N223">
        <f ca="1">IF(Table3[[#This Row],[6M Stat]]="Claimable",1,0)</f>
        <v>0</v>
      </c>
      <c r="O223" s="4">
        <f>Table3[[#This Row],[Joining Date]]+365</f>
        <v>46631</v>
      </c>
      <c r="Q223" t="str">
        <f t="shared" ca="1" si="13"/>
        <v/>
      </c>
      <c r="R223">
        <f ca="1">IF(Table3[[#This Row],[12 M Stat]]="Claimable",1,0)</f>
        <v>0</v>
      </c>
      <c r="S223">
        <f ca="1">Table3[[#This Row],[Placement claim Highlight]]+Table3[[#This Row],[Highlight rule 6M]]+Table3[[#This Row],[Highlight rule 12 M]]</f>
        <v>0</v>
      </c>
      <c r="T223" s="6">
        <f>SUM(Table3[[#This Row],[Placement Fee]:[Salary]])</f>
        <v>192.5</v>
      </c>
      <c r="U223" s="6"/>
      <c r="V223" s="6">
        <f>IF(Table1[[#This Row],[MoL]]="Yes",55,0)</f>
        <v>55</v>
      </c>
      <c r="W223" s="6">
        <f>IF(Table1[[#This Row],[Long MoL +3 Years]]="Yes",137.5,0)</f>
        <v>0</v>
      </c>
      <c r="X223" s="6">
        <f>IF(Table1[[#This Row],[Gender]]="Female",137.5,0)</f>
        <v>0</v>
      </c>
      <c r="Y223" s="6">
        <f>IF(Table1[[#This Row],[Education]]="Bachelors +",55,0)</f>
        <v>55</v>
      </c>
      <c r="Z223" s="6">
        <f>IF(Table1[[#This Row],[Salary]]&gt;=600,82.5,0)</f>
        <v>82.5</v>
      </c>
    </row>
    <row r="224" spans="1:26">
      <c r="A224" s="3">
        <f>Table1[[#This Row],[SL No.]]</f>
        <v>223</v>
      </c>
      <c r="B224" t="str">
        <f>Table1[[#This Row],[Case manager]]</f>
        <v>Meaad</v>
      </c>
      <c r="C224" t="str">
        <f>Table1[[#This Row],[Ref No]]</f>
        <v>JCP/26/340211</v>
      </c>
      <c r="D224" t="str">
        <f>Table1[[#This Row],[Name]]</f>
        <v>Sayed Ali yusuf Alalawi</v>
      </c>
      <c r="E224" s="4">
        <f>'Placements 26'!F223</f>
        <v>46264</v>
      </c>
      <c r="F224" s="4" t="str">
        <f t="shared" ca="1" si="22"/>
        <v>Claimed</v>
      </c>
      <c r="G224" s="4"/>
      <c r="H224" s="4"/>
      <c r="I224" s="4">
        <v>46261</v>
      </c>
      <c r="J224">
        <f>IF(Table3[[#This Row],[Placement Fee &amp; Variables]]&gt;0,0,1)</f>
        <v>0</v>
      </c>
      <c r="K224" s="4">
        <f>Table3[[#This Row],[Joining Date]]+180</f>
        <v>46444</v>
      </c>
      <c r="L224" t="str">
        <f t="shared" ca="1" si="23"/>
        <v/>
      </c>
      <c r="N224">
        <f ca="1">IF(Table3[[#This Row],[6M Stat]]="Claimable",1,0)</f>
        <v>0</v>
      </c>
      <c r="O224" s="4">
        <f>Table3[[#This Row],[Joining Date]]+365</f>
        <v>46629</v>
      </c>
      <c r="Q224" t="str">
        <f t="shared" ca="1" si="13"/>
        <v/>
      </c>
      <c r="R224">
        <f ca="1">IF(Table3[[#This Row],[12 M Stat]]="Claimable",1,0)</f>
        <v>0</v>
      </c>
      <c r="S224">
        <f ca="1">Table3[[#This Row],[Placement claim Highlight]]+Table3[[#This Row],[Highlight rule 6M]]+Table3[[#This Row],[Highlight rule 12 M]]</f>
        <v>0</v>
      </c>
      <c r="T224" s="6">
        <f>SUM(Table3[[#This Row],[Placement Fee]:[Salary]])</f>
        <v>192.5</v>
      </c>
      <c r="U224" s="6"/>
      <c r="V224" s="6">
        <f>IF(Table1[[#This Row],[MoL]]="Yes",55,0)</f>
        <v>55</v>
      </c>
      <c r="W224" s="6">
        <f>IF(Table1[[#This Row],[Long MoL +3 Years]]="Yes",137.5,0)</f>
        <v>137.5</v>
      </c>
      <c r="X224" s="6">
        <f>IF(Table1[[#This Row],[Gender]]="Female",137.5,0)</f>
        <v>0</v>
      </c>
      <c r="Y224" s="6">
        <f>IF(Table1[[#This Row],[Education]]="Bachelors +",55,0)</f>
        <v>0</v>
      </c>
      <c r="Z224" s="6">
        <f>IF(Table1[[#This Row],[Salary]]&gt;=600,82.5,0)</f>
        <v>0</v>
      </c>
    </row>
    <row r="225" spans="1:26">
      <c r="A225" s="3">
        <f>Table1[[#This Row],[SL No.]]</f>
        <v>224</v>
      </c>
      <c r="B225" t="str">
        <f>Table1[[#This Row],[Case manager]]</f>
        <v>Meaad</v>
      </c>
      <c r="C225" t="str">
        <f>Table1[[#This Row],[Ref No]]</f>
        <v>JCP/26/338031</v>
      </c>
      <c r="D225" t="str">
        <f>Table1[[#This Row],[Name]]</f>
        <v>MURTADHA MAKI A ALESKAFI</v>
      </c>
      <c r="E225" s="4">
        <f>'Placements 26'!F224</f>
        <v>46258</v>
      </c>
      <c r="F225" s="4" t="str">
        <f t="shared" ca="1" si="22"/>
        <v>Claimed</v>
      </c>
      <c r="G225" s="4"/>
      <c r="H225" s="4"/>
      <c r="I225" s="4">
        <v>46261</v>
      </c>
      <c r="J225">
        <f>IF(Table3[[#This Row],[Placement Fee &amp; Variables]]&gt;0,0,1)</f>
        <v>0</v>
      </c>
      <c r="K225" s="4">
        <f>Table3[[#This Row],[Joining Date]]+180</f>
        <v>46438</v>
      </c>
      <c r="L225" t="str">
        <f t="shared" ca="1" si="23"/>
        <v/>
      </c>
      <c r="N225">
        <f ca="1">IF(Table3[[#This Row],[6M Stat]]="Claimable",1,0)</f>
        <v>0</v>
      </c>
      <c r="O225" s="4">
        <f>Table3[[#This Row],[Joining Date]]+365</f>
        <v>46623</v>
      </c>
      <c r="Q225" t="str">
        <f t="shared" ca="1" si="13"/>
        <v/>
      </c>
      <c r="R225">
        <f ca="1">IF(Table3[[#This Row],[12 M Stat]]="Claimable",1,0)</f>
        <v>0</v>
      </c>
      <c r="S225">
        <f ca="1">Table3[[#This Row],[Placement claim Highlight]]+Table3[[#This Row],[Highlight rule 6M]]+Table3[[#This Row],[Highlight rule 12 M]]</f>
        <v>0</v>
      </c>
      <c r="T225" s="6">
        <f>SUM(Table3[[#This Row],[Placement Fee]:[Salary]])</f>
        <v>0</v>
      </c>
      <c r="U225" s="6"/>
      <c r="V225" s="6">
        <f>IF(Table1[[#This Row],[MoL]]="Yes",55,0)</f>
        <v>0</v>
      </c>
      <c r="W225" s="6">
        <f>IF(Table1[[#This Row],[Long MoL +3 Years]]="Yes",137.5,0)</f>
        <v>0</v>
      </c>
      <c r="X225" s="6">
        <f>IF(Table1[[#This Row],[Gender]]="Female",137.5,0)</f>
        <v>0</v>
      </c>
      <c r="Y225" s="6">
        <f>IF(Table1[[#This Row],[Education]]="Bachelors +",55,0)</f>
        <v>0</v>
      </c>
      <c r="Z225" s="6">
        <f>IF(Table1[[#This Row],[Salary]]&gt;=600,82.5,0)</f>
        <v>0</v>
      </c>
    </row>
    <row r="226" spans="1:26">
      <c r="A226" s="3">
        <f>Table1[[#This Row],[SL No.]]</f>
        <v>225</v>
      </c>
      <c r="B226" t="str">
        <f>Table1[[#This Row],[Case manager]]</f>
        <v>Meaad</v>
      </c>
      <c r="C226" t="str">
        <f>Table1[[#This Row],[Ref No]]</f>
        <v>JCP/26/340127</v>
      </c>
      <c r="D226" t="str">
        <f>Table1[[#This Row],[Name]]</f>
        <v>ALI HELAL AHMED ALZAKI</v>
      </c>
      <c r="E226" s="4">
        <f>'Placements 26'!F225</f>
        <v>46253</v>
      </c>
      <c r="F226" s="4" t="str">
        <f t="shared" ca="1" si="22"/>
        <v>Claimed</v>
      </c>
      <c r="G226" s="4"/>
      <c r="H226" s="4"/>
      <c r="I226" s="4">
        <v>46261</v>
      </c>
      <c r="J226">
        <f>IF(Table3[[#This Row],[Placement Fee &amp; Variables]]&gt;0,0,1)</f>
        <v>0</v>
      </c>
      <c r="K226" s="4">
        <f>Table3[[#This Row],[Joining Date]]+180</f>
        <v>46433</v>
      </c>
      <c r="L226" t="str">
        <f t="shared" ca="1" si="23"/>
        <v/>
      </c>
      <c r="N226">
        <f ca="1">IF(Table3[[#This Row],[6M Stat]]="Claimable",1,0)</f>
        <v>0</v>
      </c>
      <c r="O226" s="4">
        <f>Table3[[#This Row],[Joining Date]]+365</f>
        <v>46618</v>
      </c>
      <c r="Q226" t="str">
        <f t="shared" ca="1" si="13"/>
        <v/>
      </c>
      <c r="R226">
        <f ca="1">IF(Table3[[#This Row],[12 M Stat]]="Claimable",1,0)</f>
        <v>0</v>
      </c>
      <c r="S226">
        <f ca="1">Table3[[#This Row],[Placement claim Highlight]]+Table3[[#This Row],[Highlight rule 6M]]+Table3[[#This Row],[Highlight rule 12 M]]</f>
        <v>0</v>
      </c>
      <c r="T226" s="6">
        <f>SUM(Table3[[#This Row],[Placement Fee]:[Salary]])</f>
        <v>0</v>
      </c>
      <c r="U226" s="6"/>
      <c r="V226" s="6">
        <f>IF(Table1[[#This Row],[MoL]]="Yes",55,0)</f>
        <v>0</v>
      </c>
      <c r="W226" s="6">
        <f>IF(Table1[[#This Row],[Long MoL +3 Years]]="Yes",137.5,0)</f>
        <v>0</v>
      </c>
      <c r="X226" s="6">
        <f>IF(Table1[[#This Row],[Gender]]="Female",137.5,0)</f>
        <v>0</v>
      </c>
      <c r="Y226" s="6">
        <f>IF(Table1[[#This Row],[Education]]="Bachelors +",55,0)</f>
        <v>0</v>
      </c>
      <c r="Z226" s="6">
        <f>IF(Table1[[#This Row],[Salary]]&gt;=600,82.5,0)</f>
        <v>0</v>
      </c>
    </row>
    <row r="227" spans="1:26">
      <c r="A227" s="3">
        <f>Table1[[#This Row],[SL No.]]</f>
        <v>226</v>
      </c>
      <c r="B227">
        <f>Table1[[#This Row],[Case manager]]</f>
        <v>0</v>
      </c>
      <c r="C227" t="str">
        <f>Table1[[#This Row],[Ref No]]</f>
        <v>JCP/26/338745</v>
      </c>
      <c r="D227" t="str">
        <f>Table1[[#This Row],[Name]]</f>
        <v>Basem Abdulameer Ebrahim Hasan Ahmed Alaswad</v>
      </c>
      <c r="E227" s="4">
        <f>'Placements 26'!F226</f>
        <v>46253</v>
      </c>
      <c r="F227" s="4" t="str">
        <f t="shared" ca="1" si="22"/>
        <v>Claimed</v>
      </c>
      <c r="G227" s="4"/>
      <c r="H227" s="4"/>
      <c r="I227" s="4">
        <v>46267</v>
      </c>
      <c r="J227">
        <f>IF(Table3[[#This Row],[Placement Fee &amp; Variables]]&gt;0,0,1)</f>
        <v>0</v>
      </c>
      <c r="K227" s="4">
        <f>Table3[[#This Row],[Joining Date]]+180</f>
        <v>46433</v>
      </c>
      <c r="L227" t="str">
        <f t="shared" ca="1" si="23"/>
        <v/>
      </c>
      <c r="N227">
        <f ca="1">IF(Table3[[#This Row],[6M Stat]]="Claimable",1,0)</f>
        <v>0</v>
      </c>
      <c r="O227" s="4">
        <f>Table3[[#This Row],[Joining Date]]+365</f>
        <v>46618</v>
      </c>
      <c r="Q227" t="str">
        <f t="shared" ca="1" si="13"/>
        <v/>
      </c>
      <c r="R227">
        <f ca="1">IF(Table3[[#This Row],[12 M Stat]]="Claimable",1,0)</f>
        <v>0</v>
      </c>
      <c r="S227">
        <f ca="1">Table3[[#This Row],[Placement claim Highlight]]+Table3[[#This Row],[Highlight rule 6M]]+Table3[[#This Row],[Highlight rule 12 M]]</f>
        <v>0</v>
      </c>
      <c r="T227" s="6">
        <f>SUM(Table3[[#This Row],[Placement Fee]:[Salary]])</f>
        <v>275</v>
      </c>
      <c r="U227" s="6"/>
      <c r="V227" s="6">
        <f>IF(Table1[[#This Row],[MoL]]="Yes",55,0)</f>
        <v>55</v>
      </c>
      <c r="W227" s="6">
        <f>IF(Table1[[#This Row],[Long MoL +3 Years]]="Yes",137.5,0)</f>
        <v>137.5</v>
      </c>
      <c r="X227" s="6">
        <f>IF(Table1[[#This Row],[Gender]]="Female",137.5,0)</f>
        <v>0</v>
      </c>
      <c r="Y227" s="6">
        <f>IF(Table1[[#This Row],[Education]]="Bachelors +",55,0)</f>
        <v>0</v>
      </c>
      <c r="Z227" s="6">
        <f>IF(Table1[[#This Row],[Salary]]&gt;=600,82.5,0)</f>
        <v>82.5</v>
      </c>
    </row>
    <row r="228" spans="1:26">
      <c r="A228" s="3">
        <f>Table1[[#This Row],[SL No.]]</f>
        <v>227</v>
      </c>
      <c r="B228">
        <f>Table1[[#This Row],[Case manager]]</f>
        <v>0</v>
      </c>
      <c r="C228">
        <f>Table1[[#This Row],[Ref No]]</f>
        <v>0</v>
      </c>
      <c r="D228">
        <f>Table1[[#This Row],[Name]]</f>
        <v>0</v>
      </c>
      <c r="E228" s="4">
        <f>'Placements 26'!F227</f>
        <v>46253</v>
      </c>
      <c r="F228" s="4" t="str">
        <f t="shared" ca="1" si="22"/>
        <v>Claimable</v>
      </c>
      <c r="G228" s="4"/>
      <c r="H228" s="4"/>
      <c r="J228">
        <f>IF(Table3[[#This Row],[Placement Fee &amp; Variables]]&gt;0,0,1)</f>
        <v>1</v>
      </c>
      <c r="K228" s="4">
        <f>Table3[[#This Row],[Joining Date]]+180</f>
        <v>46433</v>
      </c>
      <c r="L228" t="str">
        <f t="shared" ca="1" si="23"/>
        <v/>
      </c>
      <c r="N228">
        <f ca="1">IF(Table3[[#This Row],[6M Stat]]="Claimable",1,0)</f>
        <v>0</v>
      </c>
      <c r="O228" s="4">
        <f>Table3[[#This Row],[Joining Date]]+365</f>
        <v>46618</v>
      </c>
      <c r="Q228" t="str">
        <f t="shared" ca="1" si="13"/>
        <v/>
      </c>
      <c r="R228">
        <f ca="1">IF(Table3[[#This Row],[12 M Stat]]="Claimable",1,0)</f>
        <v>0</v>
      </c>
      <c r="S228">
        <f ca="1">Table3[[#This Row],[Placement claim Highlight]]+Table3[[#This Row],[Highlight rule 6M]]+Table3[[#This Row],[Highlight rule 12 M]]</f>
        <v>1</v>
      </c>
      <c r="T228" s="6">
        <f>SUM(Table3[[#This Row],[Placement Fee]:[Salary]])</f>
        <v>0</v>
      </c>
      <c r="U228" s="6"/>
      <c r="V228" s="6">
        <f>IF(Table1[[#This Row],[MoL]]="Yes",55,0)</f>
        <v>0</v>
      </c>
      <c r="W228" s="6">
        <f>IF(Table1[[#This Row],[Long MoL +3 Years]]="Yes",137.5,0)</f>
        <v>0</v>
      </c>
      <c r="X228" s="6">
        <f>IF(Table1[[#This Row],[Gender]]="Female",137.5,0)</f>
        <v>0</v>
      </c>
      <c r="Y228" s="6">
        <f>IF(Table1[[#This Row],[Education]]="Bachelors +",55,0)</f>
        <v>0</v>
      </c>
      <c r="Z228" s="6">
        <f>IF(Table1[[#This Row],[Salary]]&gt;=600,82.5,0)</f>
        <v>0</v>
      </c>
    </row>
    <row r="229" spans="1:26">
      <c r="A229" s="3">
        <f>Table1[[#This Row],[SL No.]]</f>
        <v>228</v>
      </c>
      <c r="B229">
        <f>Table1[[#This Row],[Case manager]]</f>
        <v>0</v>
      </c>
      <c r="C229">
        <f>Table1[[#This Row],[Ref No]]</f>
        <v>0</v>
      </c>
      <c r="D229">
        <f>Table1[[#This Row],[Name]]</f>
        <v>0</v>
      </c>
      <c r="E229" s="4" t="str">
        <f>'Placements 26'!F228</f>
        <v>-</v>
      </c>
      <c r="F229" s="4" t="e">
        <f t="shared" ca="1" si="22"/>
        <v>#VALUE!</v>
      </c>
      <c r="G229" s="4"/>
      <c r="H229" s="4"/>
      <c r="J229">
        <f>IF(Table3[[#This Row],[Placement Fee &amp; Variables]]&gt;0,0,1)</f>
        <v>1</v>
      </c>
      <c r="K229" s="4" t="e">
        <f>Table3[[#This Row],[Joining Date]]+180</f>
        <v>#VALUE!</v>
      </c>
      <c r="L229" t="e">
        <f t="shared" ca="1" si="23"/>
        <v>#VALUE!</v>
      </c>
      <c r="N229" t="e">
        <f ca="1">IF(Table3[[#This Row],[6M Stat]]="Claimable",1,0)</f>
        <v>#VALUE!</v>
      </c>
      <c r="O229" s="4" t="e">
        <f>Table3[[#This Row],[Joining Date]]+365</f>
        <v>#VALUE!</v>
      </c>
      <c r="Q229" t="e">
        <f t="shared" ca="1" si="13"/>
        <v>#VALUE!</v>
      </c>
      <c r="R229" t="e">
        <f ca="1">IF(Table3[[#This Row],[12 M Stat]]="Claimable",1,0)</f>
        <v>#VALUE!</v>
      </c>
      <c r="S229" t="e">
        <f ca="1">Table3[[#This Row],[Placement claim Highlight]]+Table3[[#This Row],[Highlight rule 6M]]+Table3[[#This Row],[Highlight rule 12 M]]</f>
        <v>#VALUE!</v>
      </c>
      <c r="T229" s="6">
        <f>SUM(Table3[[#This Row],[Placement Fee]:[Salary]])</f>
        <v>0</v>
      </c>
      <c r="U229" s="6"/>
      <c r="V229" s="6">
        <f>IF(Table1[[#This Row],[MoL]]="Yes",55,0)</f>
        <v>0</v>
      </c>
      <c r="W229" s="6">
        <f>IF(Table1[[#This Row],[Long MoL +3 Years]]="Yes",137.5,0)</f>
        <v>0</v>
      </c>
      <c r="X229" s="6">
        <f>IF(Table1[[#This Row],[Gender]]="Female",137.5,0)</f>
        <v>0</v>
      </c>
      <c r="Y229" s="6">
        <f>IF(Table1[[#This Row],[Education]]="Bachelors +",55,0)</f>
        <v>0</v>
      </c>
      <c r="Z229" s="6">
        <f>IF(Table1[[#This Row],[Salary]]&gt;=600,82.5,0)</f>
        <v>0</v>
      </c>
    </row>
    <row r="230" spans="1:26">
      <c r="A230" s="3">
        <f>Table1[[#This Row],[SL No.]]</f>
        <v>229</v>
      </c>
      <c r="B230">
        <f>Table1[[#This Row],[Case manager]]</f>
        <v>0</v>
      </c>
      <c r="C230">
        <f>Table1[[#This Row],[Ref No]]</f>
        <v>0</v>
      </c>
      <c r="D230">
        <f>Table1[[#This Row],[Name]]</f>
        <v>0</v>
      </c>
      <c r="E230" s="4" t="str">
        <f>'Placements 26'!F229</f>
        <v>-</v>
      </c>
      <c r="F230" s="4" t="e">
        <f t="shared" ca="1" si="22"/>
        <v>#VALUE!</v>
      </c>
      <c r="G230" s="4"/>
      <c r="H230" s="4"/>
      <c r="J230">
        <f>IF(Table3[[#This Row],[Placement Fee &amp; Variables]]&gt;0,0,1)</f>
        <v>1</v>
      </c>
      <c r="K230" s="4" t="e">
        <f>Table3[[#This Row],[Joining Date]]+180</f>
        <v>#VALUE!</v>
      </c>
      <c r="L230" t="e">
        <f t="shared" ca="1" si="23"/>
        <v>#VALUE!</v>
      </c>
      <c r="N230" t="e">
        <f ca="1">IF(Table3[[#This Row],[6M Stat]]="Claimable",1,0)</f>
        <v>#VALUE!</v>
      </c>
      <c r="O230" s="4" t="e">
        <f>Table3[[#This Row],[Joining Date]]+365</f>
        <v>#VALUE!</v>
      </c>
      <c r="Q230" t="e">
        <f t="shared" ca="1" si="13"/>
        <v>#VALUE!</v>
      </c>
      <c r="R230" t="e">
        <f ca="1">IF(Table3[[#This Row],[12 M Stat]]="Claimable",1,0)</f>
        <v>#VALUE!</v>
      </c>
      <c r="S230" t="e">
        <f ca="1">Table3[[#This Row],[Placement claim Highlight]]+Table3[[#This Row],[Highlight rule 6M]]+Table3[[#This Row],[Highlight rule 12 M]]</f>
        <v>#VALUE!</v>
      </c>
      <c r="T230" s="6">
        <f>SUM(Table3[[#This Row],[Placement Fee]:[Salary]])</f>
        <v>0</v>
      </c>
      <c r="U230" s="6"/>
      <c r="V230" s="6">
        <f>IF(Table1[[#This Row],[MoL]]="Yes",55,0)</f>
        <v>0</v>
      </c>
      <c r="W230" s="6">
        <f>IF(Table1[[#This Row],[Long MoL +3 Years]]="Yes",137.5,0)</f>
        <v>0</v>
      </c>
      <c r="X230" s="6">
        <f>IF(Table1[[#This Row],[Gender]]="Female",137.5,0)</f>
        <v>0</v>
      </c>
      <c r="Y230" s="6">
        <f>IF(Table1[[#This Row],[Education]]="Bachelors +",55,0)</f>
        <v>0</v>
      </c>
      <c r="Z230" s="6">
        <f>IF(Table1[[#This Row],[Salary]]&gt;=600,82.5,0)</f>
        <v>0</v>
      </c>
    </row>
    <row r="231" spans="1:26">
      <c r="A231" s="3">
        <f>Table1[[#This Row],[SL No.]]</f>
        <v>230</v>
      </c>
      <c r="B231">
        <f>Table1[[#This Row],[Case manager]]</f>
        <v>0</v>
      </c>
      <c r="C231">
        <f>Table1[[#This Row],[Ref No]]</f>
        <v>0</v>
      </c>
      <c r="D231">
        <f>Table1[[#This Row],[Name]]</f>
        <v>0</v>
      </c>
      <c r="E231" s="4" t="str">
        <f>'Placements 26'!F230</f>
        <v>-</v>
      </c>
      <c r="F231" s="4" t="e">
        <f t="shared" ca="1" si="22"/>
        <v>#VALUE!</v>
      </c>
      <c r="G231" s="4"/>
      <c r="H231" s="4"/>
      <c r="J231">
        <f>IF(Table3[[#This Row],[Placement Fee &amp; Variables]]&gt;0,0,1)</f>
        <v>1</v>
      </c>
      <c r="K231" s="4" t="e">
        <f>Table3[[#This Row],[Joining Date]]+180</f>
        <v>#VALUE!</v>
      </c>
      <c r="L231" t="e">
        <f t="shared" ca="1" si="23"/>
        <v>#VALUE!</v>
      </c>
      <c r="N231" t="e">
        <f ca="1">IF(Table3[[#This Row],[6M Stat]]="Claimable",1,0)</f>
        <v>#VALUE!</v>
      </c>
      <c r="O231" s="4" t="e">
        <f>Table3[[#This Row],[Joining Date]]+365</f>
        <v>#VALUE!</v>
      </c>
      <c r="Q231" t="e">
        <f t="shared" ca="1" si="13"/>
        <v>#VALUE!</v>
      </c>
      <c r="R231" t="e">
        <f ca="1">IF(Table3[[#This Row],[12 M Stat]]="Claimable",1,0)</f>
        <v>#VALUE!</v>
      </c>
      <c r="S231" t="e">
        <f ca="1">Table3[[#This Row],[Placement claim Highlight]]+Table3[[#This Row],[Highlight rule 6M]]+Table3[[#This Row],[Highlight rule 12 M]]</f>
        <v>#VALUE!</v>
      </c>
      <c r="T231" s="6">
        <f>SUM(Table3[[#This Row],[Placement Fee]:[Salary]])</f>
        <v>0</v>
      </c>
      <c r="U231" s="6"/>
      <c r="V231" s="6">
        <f>IF(Table1[[#This Row],[MoL]]="Yes",55,0)</f>
        <v>0</v>
      </c>
      <c r="W231" s="6">
        <f>IF(Table1[[#This Row],[Long MoL +3 Years]]="Yes",137.5,0)</f>
        <v>0</v>
      </c>
      <c r="X231" s="6">
        <f>IF(Table1[[#This Row],[Gender]]="Female",137.5,0)</f>
        <v>0</v>
      </c>
      <c r="Y231" s="6">
        <f>IF(Table1[[#This Row],[Education]]="Bachelors +",55,0)</f>
        <v>0</v>
      </c>
      <c r="Z231" s="6">
        <f>IF(Table1[[#This Row],[Salary]]&gt;=600,82.5,0)</f>
        <v>0</v>
      </c>
    </row>
    <row r="232" spans="1:26">
      <c r="A232" s="3">
        <f>Table1[[#This Row],[SL No.]]</f>
        <v>231</v>
      </c>
      <c r="B232">
        <f>Table1[[#This Row],[Case manager]]</f>
        <v>0</v>
      </c>
      <c r="C232">
        <f>Table1[[#This Row],[Ref No]]</f>
        <v>0</v>
      </c>
      <c r="D232">
        <f>Table1[[#This Row],[Name]]</f>
        <v>0</v>
      </c>
      <c r="E232" s="4" t="str">
        <f>'Placements 26'!F231</f>
        <v>-</v>
      </c>
      <c r="F232" s="4" t="e">
        <f t="shared" ca="1" si="22"/>
        <v>#VALUE!</v>
      </c>
      <c r="G232" s="4"/>
      <c r="H232" s="4"/>
      <c r="J232">
        <f>IF(Table3[[#This Row],[Placement Fee &amp; Variables]]&gt;0,0,1)</f>
        <v>1</v>
      </c>
      <c r="K232" s="4" t="e">
        <f>Table3[[#This Row],[Joining Date]]+180</f>
        <v>#VALUE!</v>
      </c>
      <c r="L232" t="e">
        <f t="shared" ca="1" si="23"/>
        <v>#VALUE!</v>
      </c>
      <c r="N232" t="e">
        <f ca="1">IF(Table3[[#This Row],[6M Stat]]="Claimable",1,0)</f>
        <v>#VALUE!</v>
      </c>
      <c r="O232" s="4" t="e">
        <f>Table3[[#This Row],[Joining Date]]+365</f>
        <v>#VALUE!</v>
      </c>
      <c r="Q232" t="e">
        <f t="shared" ca="1" si="13"/>
        <v>#VALUE!</v>
      </c>
      <c r="R232" t="e">
        <f ca="1">IF(Table3[[#This Row],[12 M Stat]]="Claimable",1,0)</f>
        <v>#VALUE!</v>
      </c>
      <c r="S232" t="e">
        <f ca="1">Table3[[#This Row],[Placement claim Highlight]]+Table3[[#This Row],[Highlight rule 6M]]+Table3[[#This Row],[Highlight rule 12 M]]</f>
        <v>#VALUE!</v>
      </c>
      <c r="T232" s="6">
        <f>SUM(Table3[[#This Row],[Placement Fee]:[Salary]])</f>
        <v>0</v>
      </c>
      <c r="U232" s="6"/>
      <c r="V232" s="6">
        <f>IF(Table1[[#This Row],[MoL]]="Yes",55,0)</f>
        <v>0</v>
      </c>
      <c r="W232" s="6">
        <f>IF(Table1[[#This Row],[Long MoL +3 Years]]="Yes",137.5,0)</f>
        <v>0</v>
      </c>
      <c r="X232" s="6">
        <f>IF(Table1[[#This Row],[Gender]]="Female",137.5,0)</f>
        <v>0</v>
      </c>
      <c r="Y232" s="6">
        <f>IF(Table1[[#This Row],[Education]]="Bachelors +",55,0)</f>
        <v>0</v>
      </c>
      <c r="Z232" s="6">
        <f>IF(Table1[[#This Row],[Salary]]&gt;=600,82.5,0)</f>
        <v>0</v>
      </c>
    </row>
    <row r="233" spans="1:26">
      <c r="A233" s="3">
        <f>Table1[[#This Row],[SL No.]]</f>
        <v>232</v>
      </c>
      <c r="B233">
        <f>Table1[[#This Row],[Case manager]]</f>
        <v>0</v>
      </c>
      <c r="C233">
        <f>Table1[[#This Row],[Ref No]]</f>
        <v>0</v>
      </c>
      <c r="D233">
        <f>Table1[[#This Row],[Name]]</f>
        <v>0</v>
      </c>
      <c r="E233" s="4" t="str">
        <f>'Placements 26'!F232</f>
        <v>-</v>
      </c>
      <c r="F233" s="4" t="e">
        <f t="shared" ca="1" si="22"/>
        <v>#VALUE!</v>
      </c>
      <c r="G233" s="4"/>
      <c r="H233" s="4"/>
      <c r="J233">
        <f>IF(Table3[[#This Row],[Placement Fee &amp; Variables]]&gt;0,0,1)</f>
        <v>1</v>
      </c>
      <c r="K233" s="4" t="e">
        <f>Table3[[#This Row],[Joining Date]]+180</f>
        <v>#VALUE!</v>
      </c>
      <c r="L233" t="e">
        <f t="shared" ca="1" si="23"/>
        <v>#VALUE!</v>
      </c>
      <c r="N233" t="e">
        <f ca="1">IF(Table3[[#This Row],[6M Stat]]="Claimable",1,0)</f>
        <v>#VALUE!</v>
      </c>
      <c r="O233" s="4" t="e">
        <f>Table3[[#This Row],[Joining Date]]+365</f>
        <v>#VALUE!</v>
      </c>
      <c r="Q233" t="e">
        <f t="shared" ca="1" si="13"/>
        <v>#VALUE!</v>
      </c>
      <c r="R233" t="e">
        <f ca="1">IF(Table3[[#This Row],[12 M Stat]]="Claimable",1,0)</f>
        <v>#VALUE!</v>
      </c>
      <c r="S233" t="e">
        <f ca="1">Table3[[#This Row],[Placement claim Highlight]]+Table3[[#This Row],[Highlight rule 6M]]+Table3[[#This Row],[Highlight rule 12 M]]</f>
        <v>#VALUE!</v>
      </c>
      <c r="T233" s="6">
        <f>SUM(Table3[[#This Row],[Placement Fee]:[Salary]])</f>
        <v>0</v>
      </c>
      <c r="U233" s="6"/>
      <c r="V233" s="6">
        <f>IF(Table1[[#This Row],[MoL]]="Yes",55,0)</f>
        <v>0</v>
      </c>
      <c r="W233" s="6">
        <f>IF(Table1[[#This Row],[Long MoL +3 Years]]="Yes",137.5,0)</f>
        <v>0</v>
      </c>
      <c r="X233" s="6">
        <f>IF(Table1[[#This Row],[Gender]]="Female",137.5,0)</f>
        <v>0</v>
      </c>
      <c r="Y233" s="6">
        <f>IF(Table1[[#This Row],[Education]]="Bachelors +",55,0)</f>
        <v>0</v>
      </c>
      <c r="Z233" s="6">
        <f>IF(Table1[[#This Row],[Salary]]&gt;=600,82.5,0)</f>
        <v>0</v>
      </c>
    </row>
    <row r="234" spans="1:26">
      <c r="A234" s="3">
        <f>Table1[[#This Row],[SL No.]]</f>
        <v>233</v>
      </c>
      <c r="B234">
        <f>Table1[[#This Row],[Case manager]]</f>
        <v>0</v>
      </c>
      <c r="C234">
        <f>Table1[[#This Row],[Ref No]]</f>
        <v>0</v>
      </c>
      <c r="D234">
        <f>Table1[[#This Row],[Name]]</f>
        <v>0</v>
      </c>
      <c r="E234" s="4" t="str">
        <f>'Placements 26'!F233</f>
        <v>-</v>
      </c>
      <c r="F234" s="4" t="e">
        <f t="shared" ca="1" si="22"/>
        <v>#VALUE!</v>
      </c>
      <c r="G234" s="4"/>
      <c r="H234" s="4"/>
      <c r="J234">
        <f>IF(Table3[[#This Row],[Placement Fee &amp; Variables]]&gt;0,0,1)</f>
        <v>1</v>
      </c>
      <c r="K234" s="4" t="e">
        <f>Table3[[#This Row],[Joining Date]]+180</f>
        <v>#VALUE!</v>
      </c>
      <c r="L234" t="e">
        <f t="shared" ca="1" si="23"/>
        <v>#VALUE!</v>
      </c>
      <c r="N234" t="e">
        <f ca="1">IF(Table3[[#This Row],[6M Stat]]="Claimable",1,0)</f>
        <v>#VALUE!</v>
      </c>
      <c r="O234" s="4" t="e">
        <f>Table3[[#This Row],[Joining Date]]+365</f>
        <v>#VALUE!</v>
      </c>
      <c r="Q234" t="e">
        <f t="shared" ca="1" si="13"/>
        <v>#VALUE!</v>
      </c>
      <c r="R234" t="e">
        <f ca="1">IF(Table3[[#This Row],[12 M Stat]]="Claimable",1,0)</f>
        <v>#VALUE!</v>
      </c>
      <c r="S234" t="e">
        <f ca="1">Table3[[#This Row],[Placement claim Highlight]]+Table3[[#This Row],[Highlight rule 6M]]+Table3[[#This Row],[Highlight rule 12 M]]</f>
        <v>#VALUE!</v>
      </c>
      <c r="T234" s="6">
        <f>SUM(Table3[[#This Row],[Placement Fee]:[Salary]])</f>
        <v>0</v>
      </c>
      <c r="U234" s="6"/>
      <c r="V234" s="6">
        <f>IF(Table1[[#This Row],[MoL]]="Yes",55,0)</f>
        <v>0</v>
      </c>
      <c r="W234" s="6">
        <f>IF(Table1[[#This Row],[Long MoL +3 Years]]="Yes",137.5,0)</f>
        <v>0</v>
      </c>
      <c r="X234" s="6">
        <f>IF(Table1[[#This Row],[Gender]]="Female",137.5,0)</f>
        <v>0</v>
      </c>
      <c r="Y234" s="6">
        <f>IF(Table1[[#This Row],[Education]]="Bachelors +",55,0)</f>
        <v>0</v>
      </c>
      <c r="Z234" s="6">
        <f>IF(Table1[[#This Row],[Salary]]&gt;=600,82.5,0)</f>
        <v>0</v>
      </c>
    </row>
    <row r="235" spans="1:26">
      <c r="A235" s="3">
        <f>Table1[[#This Row],[SL No.]]</f>
        <v>234</v>
      </c>
      <c r="B235">
        <f>Table1[[#This Row],[Case manager]]</f>
        <v>0</v>
      </c>
      <c r="C235">
        <f>Table1[[#This Row],[Ref No]]</f>
        <v>0</v>
      </c>
      <c r="D235">
        <f>Table1[[#This Row],[Name]]</f>
        <v>0</v>
      </c>
      <c r="E235" s="4" t="str">
        <f>'Placements 26'!F234</f>
        <v>-</v>
      </c>
      <c r="F235" s="4" t="e">
        <f t="shared" ca="1" si="22"/>
        <v>#VALUE!</v>
      </c>
      <c r="G235" s="4"/>
      <c r="H235" s="4"/>
      <c r="J235">
        <f>IF(Table3[[#This Row],[Placement Fee &amp; Variables]]&gt;0,0,1)</f>
        <v>1</v>
      </c>
      <c r="K235" s="4" t="e">
        <f>Table3[[#This Row],[Joining Date]]+180</f>
        <v>#VALUE!</v>
      </c>
      <c r="L235" t="e">
        <f t="shared" ca="1" si="23"/>
        <v>#VALUE!</v>
      </c>
      <c r="N235" t="e">
        <f ca="1">IF(Table3[[#This Row],[6M Stat]]="Claimable",1,0)</f>
        <v>#VALUE!</v>
      </c>
      <c r="O235" s="4" t="e">
        <f>Table3[[#This Row],[Joining Date]]+365</f>
        <v>#VALUE!</v>
      </c>
      <c r="Q235" t="e">
        <f t="shared" ca="1" si="13"/>
        <v>#VALUE!</v>
      </c>
      <c r="R235" t="e">
        <f ca="1">IF(Table3[[#This Row],[12 M Stat]]="Claimable",1,0)</f>
        <v>#VALUE!</v>
      </c>
      <c r="S235" t="e">
        <f ca="1">Table3[[#This Row],[Placement claim Highlight]]+Table3[[#This Row],[Highlight rule 6M]]+Table3[[#This Row],[Highlight rule 12 M]]</f>
        <v>#VALUE!</v>
      </c>
      <c r="T235" s="6">
        <f>SUM(Table3[[#This Row],[Placement Fee]:[Salary]])</f>
        <v>0</v>
      </c>
      <c r="U235" s="6"/>
      <c r="V235" s="6">
        <f>IF(Table1[[#This Row],[MoL]]="Yes",55,0)</f>
        <v>0</v>
      </c>
      <c r="W235" s="6">
        <f>IF(Table1[[#This Row],[Long MoL +3 Years]]="Yes",137.5,0)</f>
        <v>0</v>
      </c>
      <c r="X235" s="6">
        <f>IF(Table1[[#This Row],[Gender]]="Female",137.5,0)</f>
        <v>0</v>
      </c>
      <c r="Y235" s="6">
        <f>IF(Table1[[#This Row],[Education]]="Bachelors +",55,0)</f>
        <v>0</v>
      </c>
      <c r="Z235" s="6">
        <f>IF(Table1[[#This Row],[Salary]]&gt;=600,82.5,0)</f>
        <v>0</v>
      </c>
    </row>
    <row r="236" spans="1:26">
      <c r="A236" s="3">
        <f>Table1[[#This Row],[SL No.]]</f>
        <v>235</v>
      </c>
      <c r="B236">
        <f>Table1[[#This Row],[Case manager]]</f>
        <v>0</v>
      </c>
      <c r="C236">
        <f>Table1[[#This Row],[Ref No]]</f>
        <v>0</v>
      </c>
      <c r="D236">
        <f>Table1[[#This Row],[Name]]</f>
        <v>0</v>
      </c>
      <c r="E236" s="4" t="str">
        <f>'Placements 26'!F235</f>
        <v>-</v>
      </c>
      <c r="F236" s="4" t="e">
        <f t="shared" ca="1" si="22"/>
        <v>#VALUE!</v>
      </c>
      <c r="G236" s="4"/>
      <c r="H236" s="4"/>
      <c r="J236">
        <f>IF(Table3[[#This Row],[Placement Fee &amp; Variables]]&gt;0,0,1)</f>
        <v>1</v>
      </c>
      <c r="K236" s="4" t="e">
        <f>Table3[[#This Row],[Joining Date]]+180</f>
        <v>#VALUE!</v>
      </c>
      <c r="L236" t="e">
        <f t="shared" ca="1" si="23"/>
        <v>#VALUE!</v>
      </c>
      <c r="N236" t="e">
        <f ca="1">IF(Table3[[#This Row],[6M Stat]]="Claimable",1,0)</f>
        <v>#VALUE!</v>
      </c>
      <c r="O236" s="4" t="e">
        <f>Table3[[#This Row],[Joining Date]]+365</f>
        <v>#VALUE!</v>
      </c>
      <c r="Q236" t="e">
        <f t="shared" ca="1" si="13"/>
        <v>#VALUE!</v>
      </c>
      <c r="R236" t="e">
        <f ca="1">IF(Table3[[#This Row],[12 M Stat]]="Claimable",1,0)</f>
        <v>#VALUE!</v>
      </c>
      <c r="S236" t="e">
        <f ca="1">Table3[[#This Row],[Placement claim Highlight]]+Table3[[#This Row],[Highlight rule 6M]]+Table3[[#This Row],[Highlight rule 12 M]]</f>
        <v>#VALUE!</v>
      </c>
      <c r="T236" s="6">
        <f>SUM(Table3[[#This Row],[Placement Fee]:[Salary]])</f>
        <v>0</v>
      </c>
      <c r="U236" s="6"/>
      <c r="V236" s="6">
        <f>IF(Table1[[#This Row],[MoL]]="Yes",55,0)</f>
        <v>0</v>
      </c>
      <c r="W236" s="6">
        <f>IF(Table1[[#This Row],[Long MoL +3 Years]]="Yes",137.5,0)</f>
        <v>0</v>
      </c>
      <c r="X236" s="6">
        <f>IF(Table1[[#This Row],[Gender]]="Female",137.5,0)</f>
        <v>0</v>
      </c>
      <c r="Y236" s="6">
        <f>IF(Table1[[#This Row],[Education]]="Bachelors +",55,0)</f>
        <v>0</v>
      </c>
      <c r="Z236" s="6">
        <f>IF(Table1[[#This Row],[Salary]]&gt;=600,82.5,0)</f>
        <v>0</v>
      </c>
    </row>
    <row r="237" spans="1:26">
      <c r="A237" s="3">
        <f>Table1[[#This Row],[SL No.]]</f>
        <v>236</v>
      </c>
      <c r="B237">
        <f>Table1[[#This Row],[Case manager]]</f>
        <v>0</v>
      </c>
      <c r="C237">
        <f>Table1[[#This Row],[Ref No]]</f>
        <v>0</v>
      </c>
      <c r="D237">
        <f>Table1[[#This Row],[Name]]</f>
        <v>0</v>
      </c>
      <c r="E237" s="4" t="str">
        <f>'Placements 26'!F236</f>
        <v>-</v>
      </c>
      <c r="F237" s="4" t="e">
        <f t="shared" ca="1" si="22"/>
        <v>#VALUE!</v>
      </c>
      <c r="G237" s="4"/>
      <c r="H237" s="4"/>
      <c r="J237">
        <f>IF(Table3[[#This Row],[Placement Fee &amp; Variables]]&gt;0,0,1)</f>
        <v>1</v>
      </c>
      <c r="K237" s="4" t="e">
        <f>Table3[[#This Row],[Joining Date]]+180</f>
        <v>#VALUE!</v>
      </c>
      <c r="L237" t="e">
        <f t="shared" ca="1" si="23"/>
        <v>#VALUE!</v>
      </c>
      <c r="N237" t="e">
        <f ca="1">IF(Table3[[#This Row],[6M Stat]]="Claimable",1,0)</f>
        <v>#VALUE!</v>
      </c>
      <c r="O237" s="4" t="e">
        <f>Table3[[#This Row],[Joining Date]]+365</f>
        <v>#VALUE!</v>
      </c>
      <c r="Q237" t="e">
        <f t="shared" ca="1" si="13"/>
        <v>#VALUE!</v>
      </c>
      <c r="R237" t="e">
        <f ca="1">IF(Table3[[#This Row],[12 M Stat]]="Claimable",1,0)</f>
        <v>#VALUE!</v>
      </c>
      <c r="S237" t="e">
        <f ca="1">Table3[[#This Row],[Placement claim Highlight]]+Table3[[#This Row],[Highlight rule 6M]]+Table3[[#This Row],[Highlight rule 12 M]]</f>
        <v>#VALUE!</v>
      </c>
      <c r="T237" s="6">
        <f>SUM(Table3[[#This Row],[Placement Fee]:[Salary]])</f>
        <v>0</v>
      </c>
      <c r="U237" s="6"/>
      <c r="V237" s="6">
        <f>IF(Table1[[#This Row],[MoL]]="Yes",55,0)</f>
        <v>0</v>
      </c>
      <c r="W237" s="6">
        <f>IF(Table1[[#This Row],[Long MoL +3 Years]]="Yes",137.5,0)</f>
        <v>0</v>
      </c>
      <c r="X237" s="6">
        <f>IF(Table1[[#This Row],[Gender]]="Female",137.5,0)</f>
        <v>0</v>
      </c>
      <c r="Y237" s="6">
        <f>IF(Table1[[#This Row],[Education]]="Bachelors +",55,0)</f>
        <v>0</v>
      </c>
      <c r="Z237" s="6">
        <f>IF(Table1[[#This Row],[Salary]]&gt;=600,82.5,0)</f>
        <v>0</v>
      </c>
    </row>
    <row r="238" spans="1:26">
      <c r="A238" s="3">
        <f>Table1[[#This Row],[SL No.]]</f>
        <v>237</v>
      </c>
      <c r="B238">
        <f>Table1[[#This Row],[Case manager]]</f>
        <v>0</v>
      </c>
      <c r="C238">
        <f>Table1[[#This Row],[Ref No]]</f>
        <v>0</v>
      </c>
      <c r="D238">
        <f>Table1[[#This Row],[Name]]</f>
        <v>0</v>
      </c>
      <c r="E238" s="4" t="str">
        <f>'Placements 26'!F237</f>
        <v>-</v>
      </c>
      <c r="F238" s="4" t="e">
        <f t="shared" ca="1" si="22"/>
        <v>#VALUE!</v>
      </c>
      <c r="G238" s="4"/>
      <c r="H238" s="4"/>
      <c r="J238">
        <f>IF(Table3[[#This Row],[Placement Fee &amp; Variables]]&gt;0,0,1)</f>
        <v>1</v>
      </c>
      <c r="K238" s="4" t="e">
        <f>Table3[[#This Row],[Joining Date]]+180</f>
        <v>#VALUE!</v>
      </c>
      <c r="L238" t="e">
        <f t="shared" ca="1" si="23"/>
        <v>#VALUE!</v>
      </c>
      <c r="N238" t="e">
        <f ca="1">IF(Table3[[#This Row],[6M Stat]]="Claimable",1,0)</f>
        <v>#VALUE!</v>
      </c>
      <c r="O238" s="4" t="e">
        <f>Table3[[#This Row],[Joining Date]]+365</f>
        <v>#VALUE!</v>
      </c>
      <c r="Q238" t="e">
        <f t="shared" ca="1" si="13"/>
        <v>#VALUE!</v>
      </c>
      <c r="R238" t="e">
        <f ca="1">IF(Table3[[#This Row],[12 M Stat]]="Claimable",1,0)</f>
        <v>#VALUE!</v>
      </c>
      <c r="S238" t="e">
        <f ca="1">Table3[[#This Row],[Placement claim Highlight]]+Table3[[#This Row],[Highlight rule 6M]]+Table3[[#This Row],[Highlight rule 12 M]]</f>
        <v>#VALUE!</v>
      </c>
      <c r="T238" s="6">
        <f>SUM(Table3[[#This Row],[Placement Fee]:[Salary]])</f>
        <v>0</v>
      </c>
      <c r="U238" s="6"/>
      <c r="V238" s="6">
        <f>IF(Table1[[#This Row],[MoL]]="Yes",55,0)</f>
        <v>0</v>
      </c>
      <c r="W238" s="6">
        <f>IF(Table1[[#This Row],[Long MoL +3 Years]]="Yes",137.5,0)</f>
        <v>0</v>
      </c>
      <c r="X238" s="6">
        <f>IF(Table1[[#This Row],[Gender]]="Female",137.5,0)</f>
        <v>0</v>
      </c>
      <c r="Y238" s="6">
        <f>IF(Table1[[#This Row],[Education]]="Bachelors +",55,0)</f>
        <v>0</v>
      </c>
      <c r="Z238" s="6">
        <f>IF(Table1[[#This Row],[Salary]]&gt;=600,82.5,0)</f>
        <v>0</v>
      </c>
    </row>
    <row r="239" spans="1:26">
      <c r="A239" s="3">
        <f>Table1[[#This Row],[SL No.]]</f>
        <v>238</v>
      </c>
      <c r="B239">
        <f>Table1[[#This Row],[Case manager]]</f>
        <v>0</v>
      </c>
      <c r="C239">
        <f>Table1[[#This Row],[Ref No]]</f>
        <v>0</v>
      </c>
      <c r="D239">
        <f>Table1[[#This Row],[Name]]</f>
        <v>0</v>
      </c>
      <c r="E239" s="4" t="str">
        <f>'Placements 26'!F238</f>
        <v>-</v>
      </c>
      <c r="F239" s="4" t="e">
        <f t="shared" ca="1" si="22"/>
        <v>#VALUE!</v>
      </c>
      <c r="G239" s="4"/>
      <c r="H239" s="4"/>
      <c r="J239">
        <f>IF(Table3[[#This Row],[Placement Fee &amp; Variables]]&gt;0,0,1)</f>
        <v>1</v>
      </c>
      <c r="K239" s="4" t="e">
        <f>Table3[[#This Row],[Joining Date]]+180</f>
        <v>#VALUE!</v>
      </c>
      <c r="L239" t="e">
        <f t="shared" ca="1" si="23"/>
        <v>#VALUE!</v>
      </c>
      <c r="N239" t="e">
        <f ca="1">IF(Table3[[#This Row],[6M Stat]]="Claimable",1,0)</f>
        <v>#VALUE!</v>
      </c>
      <c r="O239" s="4" t="e">
        <f>Table3[[#This Row],[Joining Date]]+365</f>
        <v>#VALUE!</v>
      </c>
      <c r="Q239" t="e">
        <f t="shared" ca="1" si="13"/>
        <v>#VALUE!</v>
      </c>
      <c r="R239" t="e">
        <f ca="1">IF(Table3[[#This Row],[12 M Stat]]="Claimable",1,0)</f>
        <v>#VALUE!</v>
      </c>
      <c r="S239" t="e">
        <f ca="1">Table3[[#This Row],[Placement claim Highlight]]+Table3[[#This Row],[Highlight rule 6M]]+Table3[[#This Row],[Highlight rule 12 M]]</f>
        <v>#VALUE!</v>
      </c>
      <c r="T239" s="6">
        <f>SUM(Table3[[#This Row],[Placement Fee]:[Salary]])</f>
        <v>0</v>
      </c>
      <c r="U239" s="6"/>
      <c r="V239" s="6">
        <f>IF(Table1[[#This Row],[MoL]]="Yes",55,0)</f>
        <v>0</v>
      </c>
      <c r="W239" s="6">
        <f>IF(Table1[[#This Row],[Long MoL +3 Years]]="Yes",137.5,0)</f>
        <v>0</v>
      </c>
      <c r="X239" s="6">
        <f>IF(Table1[[#This Row],[Gender]]="Female",137.5,0)</f>
        <v>0</v>
      </c>
      <c r="Y239" s="6">
        <f>IF(Table1[[#This Row],[Education]]="Bachelors +",55,0)</f>
        <v>0</v>
      </c>
      <c r="Z239" s="6">
        <f>IF(Table1[[#This Row],[Salary]]&gt;=600,82.5,0)</f>
        <v>0</v>
      </c>
    </row>
    <row r="240" spans="1:26">
      <c r="A240" s="3">
        <f>Table1[[#This Row],[SL No.]]</f>
        <v>239</v>
      </c>
      <c r="B240">
        <f>Table1[[#This Row],[Case manager]]</f>
        <v>0</v>
      </c>
      <c r="C240">
        <f>Table1[[#This Row],[Ref No]]</f>
        <v>0</v>
      </c>
      <c r="D240">
        <f>Table1[[#This Row],[Name]]</f>
        <v>0</v>
      </c>
      <c r="E240" s="4" t="str">
        <f>'Placements 26'!F239</f>
        <v>-</v>
      </c>
      <c r="F240" s="4" t="e">
        <f t="shared" ca="1" si="22"/>
        <v>#VALUE!</v>
      </c>
      <c r="G240" s="4"/>
      <c r="H240" s="4"/>
      <c r="J240">
        <f>IF(Table3[[#This Row],[Placement Fee &amp; Variables]]&gt;0,0,1)</f>
        <v>1</v>
      </c>
      <c r="K240" s="4" t="e">
        <f>Table3[[#This Row],[Joining Date]]+180</f>
        <v>#VALUE!</v>
      </c>
      <c r="L240" t="e">
        <f t="shared" ca="1" si="23"/>
        <v>#VALUE!</v>
      </c>
      <c r="N240" t="e">
        <f ca="1">IF(Table3[[#This Row],[6M Stat]]="Claimable",1,0)</f>
        <v>#VALUE!</v>
      </c>
      <c r="O240" s="4" t="e">
        <f>Table3[[#This Row],[Joining Date]]+365</f>
        <v>#VALUE!</v>
      </c>
      <c r="Q240" t="e">
        <f t="shared" ca="1" si="13"/>
        <v>#VALUE!</v>
      </c>
      <c r="R240" t="e">
        <f ca="1">IF(Table3[[#This Row],[12 M Stat]]="Claimable",1,0)</f>
        <v>#VALUE!</v>
      </c>
      <c r="S240" t="e">
        <f ca="1">Table3[[#This Row],[Placement claim Highlight]]+Table3[[#This Row],[Highlight rule 6M]]+Table3[[#This Row],[Highlight rule 12 M]]</f>
        <v>#VALUE!</v>
      </c>
      <c r="T240" s="6">
        <f>SUM(Table3[[#This Row],[Placement Fee]:[Salary]])</f>
        <v>0</v>
      </c>
      <c r="U240" s="6"/>
      <c r="V240" s="6">
        <f>IF(Table1[[#This Row],[MoL]]="Yes",55,0)</f>
        <v>0</v>
      </c>
      <c r="W240" s="6">
        <f>IF(Table1[[#This Row],[Long MoL +3 Years]]="Yes",137.5,0)</f>
        <v>0</v>
      </c>
      <c r="X240" s="6">
        <f>IF(Table1[[#This Row],[Gender]]="Female",137.5,0)</f>
        <v>0</v>
      </c>
      <c r="Y240" s="6">
        <f>IF(Table1[[#This Row],[Education]]="Bachelors +",55,0)</f>
        <v>0</v>
      </c>
      <c r="Z240" s="6">
        <f>IF(Table1[[#This Row],[Salary]]&gt;=600,82.5,0)</f>
        <v>0</v>
      </c>
    </row>
    <row r="241" spans="1:26">
      <c r="A241" s="3">
        <f>Table1[[#This Row],[SL No.]]</f>
        <v>240</v>
      </c>
      <c r="B241">
        <f>Table1[[#This Row],[Case manager]]</f>
        <v>0</v>
      </c>
      <c r="C241">
        <f>Table1[[#This Row],[Ref No]]</f>
        <v>0</v>
      </c>
      <c r="D241">
        <f>Table1[[#This Row],[Name]]</f>
        <v>0</v>
      </c>
      <c r="E241" s="4" t="str">
        <f>'Placements 26'!F240</f>
        <v>-</v>
      </c>
      <c r="F241" s="4" t="e">
        <f t="shared" ca="1" si="22"/>
        <v>#VALUE!</v>
      </c>
      <c r="G241" s="4"/>
      <c r="H241" s="4"/>
      <c r="J241">
        <f>IF(Table3[[#This Row],[Placement Fee &amp; Variables]]&gt;0,0,1)</f>
        <v>1</v>
      </c>
      <c r="K241" s="4" t="e">
        <f>Table3[[#This Row],[Joining Date]]+180</f>
        <v>#VALUE!</v>
      </c>
      <c r="L241" t="e">
        <f t="shared" ca="1" si="23"/>
        <v>#VALUE!</v>
      </c>
      <c r="N241" t="e">
        <f ca="1">IF(Table3[[#This Row],[6M Stat]]="Claimable",1,0)</f>
        <v>#VALUE!</v>
      </c>
      <c r="O241" s="4" t="e">
        <f>Table3[[#This Row],[Joining Date]]+365</f>
        <v>#VALUE!</v>
      </c>
      <c r="Q241" t="e">
        <f t="shared" ca="1" si="13"/>
        <v>#VALUE!</v>
      </c>
      <c r="R241" t="e">
        <f ca="1">IF(Table3[[#This Row],[12 M Stat]]="Claimable",1,0)</f>
        <v>#VALUE!</v>
      </c>
      <c r="S241" t="e">
        <f ca="1">Table3[[#This Row],[Placement claim Highlight]]+Table3[[#This Row],[Highlight rule 6M]]+Table3[[#This Row],[Highlight rule 12 M]]</f>
        <v>#VALUE!</v>
      </c>
      <c r="T241" s="6">
        <f>SUM(Table3[[#This Row],[Placement Fee]:[Salary]])</f>
        <v>0</v>
      </c>
      <c r="U241" s="6"/>
      <c r="V241" s="6">
        <f>IF(Table1[[#This Row],[MoL]]="Yes",55,0)</f>
        <v>0</v>
      </c>
      <c r="W241" s="6">
        <f>IF(Table1[[#This Row],[Long MoL +3 Years]]="Yes",137.5,0)</f>
        <v>0</v>
      </c>
      <c r="X241" s="6">
        <f>IF(Table1[[#This Row],[Gender]]="Female",137.5,0)</f>
        <v>0</v>
      </c>
      <c r="Y241" s="6">
        <f>IF(Table1[[#This Row],[Education]]="Bachelors +",55,0)</f>
        <v>0</v>
      </c>
      <c r="Z241" s="6">
        <f>IF(Table1[[#This Row],[Salary]]&gt;=600,82.5,0)</f>
        <v>0</v>
      </c>
    </row>
    <row r="242" spans="1:26">
      <c r="A242" s="3">
        <f>Table1[[#This Row],[SL No.]]</f>
        <v>241</v>
      </c>
      <c r="B242">
        <f>Table1[[#This Row],[Case manager]]</f>
        <v>0</v>
      </c>
      <c r="C242">
        <f>Table1[[#This Row],[Ref No]]</f>
        <v>0</v>
      </c>
      <c r="D242">
        <f>Table1[[#This Row],[Name]]</f>
        <v>0</v>
      </c>
      <c r="E242" s="4" t="str">
        <f>'Placements 26'!F241</f>
        <v>-</v>
      </c>
      <c r="F242" s="4" t="e">
        <f t="shared" ca="1" si="22"/>
        <v>#VALUE!</v>
      </c>
      <c r="G242" s="4"/>
      <c r="H242" s="4"/>
      <c r="J242">
        <f>IF(Table3[[#This Row],[Placement Fee &amp; Variables]]&gt;0,0,1)</f>
        <v>1</v>
      </c>
      <c r="K242" s="4" t="e">
        <f>Table3[[#This Row],[Joining Date]]+180</f>
        <v>#VALUE!</v>
      </c>
      <c r="L242" t="e">
        <f t="shared" ca="1" si="23"/>
        <v>#VALUE!</v>
      </c>
      <c r="N242" t="e">
        <f ca="1">IF(Table3[[#This Row],[6M Stat]]="Claimable",1,0)</f>
        <v>#VALUE!</v>
      </c>
      <c r="O242" s="4" t="e">
        <f>Table3[[#This Row],[Joining Date]]+365</f>
        <v>#VALUE!</v>
      </c>
      <c r="Q242" t="e">
        <f t="shared" ca="1" si="13"/>
        <v>#VALUE!</v>
      </c>
      <c r="R242" t="e">
        <f ca="1">IF(Table3[[#This Row],[12 M Stat]]="Claimable",1,0)</f>
        <v>#VALUE!</v>
      </c>
      <c r="S242" t="e">
        <f ca="1">Table3[[#This Row],[Placement claim Highlight]]+Table3[[#This Row],[Highlight rule 6M]]+Table3[[#This Row],[Highlight rule 12 M]]</f>
        <v>#VALUE!</v>
      </c>
      <c r="T242" s="6">
        <f>SUM(Table3[[#This Row],[Placement Fee]:[Salary]])</f>
        <v>0</v>
      </c>
      <c r="U242" s="6"/>
      <c r="V242" s="6">
        <f>IF(Table1[[#This Row],[MoL]]="Yes",55,0)</f>
        <v>0</v>
      </c>
      <c r="W242" s="6">
        <f>IF(Table1[[#This Row],[Long MoL +3 Years]]="Yes",137.5,0)</f>
        <v>0</v>
      </c>
      <c r="X242" s="6">
        <f>IF(Table1[[#This Row],[Gender]]="Female",137.5,0)</f>
        <v>0</v>
      </c>
      <c r="Y242" s="6">
        <f>IF(Table1[[#This Row],[Education]]="Bachelors +",55,0)</f>
        <v>0</v>
      </c>
      <c r="Z242" s="6">
        <f>IF(Table1[[#This Row],[Salary]]&gt;=600,82.5,0)</f>
        <v>0</v>
      </c>
    </row>
    <row r="243" spans="1:26">
      <c r="A243" s="3">
        <f>Table1[[#This Row],[SL No.]]</f>
        <v>242</v>
      </c>
      <c r="B243">
        <f>Table1[[#This Row],[Case manager]]</f>
        <v>0</v>
      </c>
      <c r="C243">
        <f>Table1[[#This Row],[Ref No]]</f>
        <v>0</v>
      </c>
      <c r="D243">
        <f>Table1[[#This Row],[Name]]</f>
        <v>0</v>
      </c>
      <c r="E243" s="4" t="str">
        <f>'Placements 26'!F242</f>
        <v>-</v>
      </c>
      <c r="F243" s="4" t="e">
        <f t="shared" ca="1" si="22"/>
        <v>#VALUE!</v>
      </c>
      <c r="G243" s="4"/>
      <c r="H243" s="4"/>
      <c r="J243">
        <f>IF(Table3[[#This Row],[Placement Fee &amp; Variables]]&gt;0,0,1)</f>
        <v>1</v>
      </c>
      <c r="K243" s="4" t="e">
        <f>Table3[[#This Row],[Joining Date]]+180</f>
        <v>#VALUE!</v>
      </c>
      <c r="L243" t="e">
        <f t="shared" ca="1" si="23"/>
        <v>#VALUE!</v>
      </c>
      <c r="N243" t="e">
        <f ca="1">IF(Table3[[#This Row],[6M Stat]]="Claimable",1,0)</f>
        <v>#VALUE!</v>
      </c>
      <c r="O243" s="4" t="e">
        <f>Table3[[#This Row],[Joining Date]]+365</f>
        <v>#VALUE!</v>
      </c>
      <c r="Q243" t="e">
        <f t="shared" ca="1" si="13"/>
        <v>#VALUE!</v>
      </c>
      <c r="R243" t="e">
        <f ca="1">IF(Table3[[#This Row],[12 M Stat]]="Claimable",1,0)</f>
        <v>#VALUE!</v>
      </c>
      <c r="S243" t="e">
        <f ca="1">Table3[[#This Row],[Placement claim Highlight]]+Table3[[#This Row],[Highlight rule 6M]]+Table3[[#This Row],[Highlight rule 12 M]]</f>
        <v>#VALUE!</v>
      </c>
      <c r="T243" s="6">
        <f>SUM(Table3[[#This Row],[Placement Fee]:[Salary]])</f>
        <v>0</v>
      </c>
      <c r="U243" s="6"/>
      <c r="V243" s="6">
        <f>IF(Table1[[#This Row],[MoL]]="Yes",55,0)</f>
        <v>0</v>
      </c>
      <c r="W243" s="6">
        <f>IF(Table1[[#This Row],[Long MoL +3 Years]]="Yes",137.5,0)</f>
        <v>0</v>
      </c>
      <c r="X243" s="6">
        <f>IF(Table1[[#This Row],[Gender]]="Female",137.5,0)</f>
        <v>0</v>
      </c>
      <c r="Y243" s="6">
        <f>IF(Table1[[#This Row],[Education]]="Bachelors +",55,0)</f>
        <v>0</v>
      </c>
      <c r="Z243" s="6">
        <f>IF(Table1[[#This Row],[Salary]]&gt;=600,82.5,0)</f>
        <v>0</v>
      </c>
    </row>
    <row r="244" spans="1:26">
      <c r="A244" s="3">
        <f>Table1[[#This Row],[SL No.]]</f>
        <v>243</v>
      </c>
      <c r="B244">
        <f>Table1[[#This Row],[Case manager]]</f>
        <v>0</v>
      </c>
      <c r="C244">
        <f>Table1[[#This Row],[Ref No]]</f>
        <v>0</v>
      </c>
      <c r="D244">
        <f>Table1[[#This Row],[Name]]</f>
        <v>0</v>
      </c>
      <c r="E244" s="4" t="str">
        <f>'Placements 26'!F243</f>
        <v>-</v>
      </c>
      <c r="F244" s="4" t="e">
        <f t="shared" ca="1" si="22"/>
        <v>#VALUE!</v>
      </c>
      <c r="G244" s="4"/>
      <c r="H244" s="4"/>
      <c r="J244">
        <f>IF(Table3[[#This Row],[Placement Fee &amp; Variables]]&gt;0,0,1)</f>
        <v>1</v>
      </c>
      <c r="K244" s="4" t="e">
        <f>Table3[[#This Row],[Joining Date]]+180</f>
        <v>#VALUE!</v>
      </c>
      <c r="L244" t="e">
        <f t="shared" ca="1" si="23"/>
        <v>#VALUE!</v>
      </c>
      <c r="N244" t="e">
        <f ca="1">IF(Table3[[#This Row],[6M Stat]]="Claimable",1,0)</f>
        <v>#VALUE!</v>
      </c>
      <c r="O244" s="4" t="e">
        <f>Table3[[#This Row],[Joining Date]]+365</f>
        <v>#VALUE!</v>
      </c>
      <c r="Q244" t="e">
        <f t="shared" ca="1" si="13"/>
        <v>#VALUE!</v>
      </c>
      <c r="R244" t="e">
        <f ca="1">IF(Table3[[#This Row],[12 M Stat]]="Claimable",1,0)</f>
        <v>#VALUE!</v>
      </c>
      <c r="S244" t="e">
        <f ca="1">Table3[[#This Row],[Placement claim Highlight]]+Table3[[#This Row],[Highlight rule 6M]]+Table3[[#This Row],[Highlight rule 12 M]]</f>
        <v>#VALUE!</v>
      </c>
      <c r="T244" s="6">
        <f>SUM(Table3[[#This Row],[Placement Fee]:[Salary]])</f>
        <v>0</v>
      </c>
      <c r="U244" s="6"/>
      <c r="V244" s="6">
        <f>IF(Table1[[#This Row],[MoL]]="Yes",55,0)</f>
        <v>0</v>
      </c>
      <c r="W244" s="6">
        <f>IF(Table1[[#This Row],[Long MoL +3 Years]]="Yes",137.5,0)</f>
        <v>0</v>
      </c>
      <c r="X244" s="6">
        <f>IF(Table1[[#This Row],[Gender]]="Female",137.5,0)</f>
        <v>0</v>
      </c>
      <c r="Y244" s="6">
        <f>IF(Table1[[#This Row],[Education]]="Bachelors +",55,0)</f>
        <v>0</v>
      </c>
      <c r="Z244" s="6">
        <f>IF(Table1[[#This Row],[Salary]]&gt;=600,82.5,0)</f>
        <v>0</v>
      </c>
    </row>
    <row r="245" spans="1:26">
      <c r="A245" s="3">
        <f>Table1[[#This Row],[SL No.]]</f>
        <v>244</v>
      </c>
      <c r="B245">
        <f>Table1[[#This Row],[Case manager]]</f>
        <v>0</v>
      </c>
      <c r="C245">
        <f>Table1[[#This Row],[Ref No]]</f>
        <v>0</v>
      </c>
      <c r="D245">
        <f>Table1[[#This Row],[Name]]</f>
        <v>0</v>
      </c>
      <c r="E245" s="4" t="str">
        <f>'Placements 26'!F244</f>
        <v>-</v>
      </c>
      <c r="F245" s="4" t="e">
        <f t="shared" ca="1" si="22"/>
        <v>#VALUE!</v>
      </c>
      <c r="G245" s="4"/>
      <c r="H245" s="4"/>
      <c r="J245">
        <f>IF(Table3[[#This Row],[Placement Fee &amp; Variables]]&gt;0,0,1)</f>
        <v>1</v>
      </c>
      <c r="K245" s="4" t="e">
        <f>Table3[[#This Row],[Joining Date]]+180</f>
        <v>#VALUE!</v>
      </c>
      <c r="L245" t="e">
        <f t="shared" ca="1" si="23"/>
        <v>#VALUE!</v>
      </c>
      <c r="N245" t="e">
        <f ca="1">IF(Table3[[#This Row],[6M Stat]]="Claimable",1,0)</f>
        <v>#VALUE!</v>
      </c>
      <c r="O245" s="4" t="e">
        <f>Table3[[#This Row],[Joining Date]]+365</f>
        <v>#VALUE!</v>
      </c>
      <c r="Q245" t="e">
        <f t="shared" ca="1" si="13"/>
        <v>#VALUE!</v>
      </c>
      <c r="R245" t="e">
        <f ca="1">IF(Table3[[#This Row],[12 M Stat]]="Claimable",1,0)</f>
        <v>#VALUE!</v>
      </c>
      <c r="S245" t="e">
        <f ca="1">Table3[[#This Row],[Placement claim Highlight]]+Table3[[#This Row],[Highlight rule 6M]]+Table3[[#This Row],[Highlight rule 12 M]]</f>
        <v>#VALUE!</v>
      </c>
      <c r="T245" s="6">
        <f>SUM(Table3[[#This Row],[Placement Fee]:[Salary]])</f>
        <v>0</v>
      </c>
      <c r="U245" s="6"/>
      <c r="V245" s="6">
        <f>IF(Table1[[#This Row],[MoL]]="Yes",55,0)</f>
        <v>0</v>
      </c>
      <c r="W245" s="6">
        <f>IF(Table1[[#This Row],[Long MoL +3 Years]]="Yes",137.5,0)</f>
        <v>0</v>
      </c>
      <c r="X245" s="6">
        <f>IF(Table1[[#This Row],[Gender]]="Female",137.5,0)</f>
        <v>0</v>
      </c>
      <c r="Y245" s="6">
        <f>IF(Table1[[#This Row],[Education]]="Bachelors +",55,0)</f>
        <v>0</v>
      </c>
      <c r="Z245" s="6">
        <f>IF(Table1[[#This Row],[Salary]]&gt;=600,82.5,0)</f>
        <v>0</v>
      </c>
    </row>
    <row r="246" spans="1:26">
      <c r="A246" s="3">
        <f>Table1[[#This Row],[SL No.]]</f>
        <v>245</v>
      </c>
      <c r="B246">
        <f>Table1[[#This Row],[Case manager]]</f>
        <v>0</v>
      </c>
      <c r="C246">
        <f>Table1[[#This Row],[Ref No]]</f>
        <v>0</v>
      </c>
      <c r="D246">
        <f>Table1[[#This Row],[Name]]</f>
        <v>0</v>
      </c>
      <c r="E246" s="4" t="str">
        <f>'Placements 26'!F245</f>
        <v>-</v>
      </c>
      <c r="F246" s="4" t="e">
        <f t="shared" ca="1" si="22"/>
        <v>#VALUE!</v>
      </c>
      <c r="G246" s="4"/>
      <c r="H246" s="4"/>
      <c r="J246">
        <f>IF(Table3[[#This Row],[Placement Fee &amp; Variables]]&gt;0,0,1)</f>
        <v>1</v>
      </c>
      <c r="K246" s="4" t="e">
        <f>Table3[[#This Row],[Joining Date]]+180</f>
        <v>#VALUE!</v>
      </c>
      <c r="L246" t="e">
        <f t="shared" ca="1" si="23"/>
        <v>#VALUE!</v>
      </c>
      <c r="N246" t="e">
        <f ca="1">IF(Table3[[#This Row],[6M Stat]]="Claimable",1,0)</f>
        <v>#VALUE!</v>
      </c>
      <c r="O246" s="4" t="e">
        <f>Table3[[#This Row],[Joining Date]]+365</f>
        <v>#VALUE!</v>
      </c>
      <c r="Q246" t="e">
        <f t="shared" ca="1" si="13"/>
        <v>#VALUE!</v>
      </c>
      <c r="R246" t="e">
        <f ca="1">IF(Table3[[#This Row],[12 M Stat]]="Claimable",1,0)</f>
        <v>#VALUE!</v>
      </c>
      <c r="S246" t="e">
        <f ca="1">Table3[[#This Row],[Placement claim Highlight]]+Table3[[#This Row],[Highlight rule 6M]]+Table3[[#This Row],[Highlight rule 12 M]]</f>
        <v>#VALUE!</v>
      </c>
      <c r="T246" s="6">
        <f>SUM(Table3[[#This Row],[Placement Fee]:[Salary]])</f>
        <v>0</v>
      </c>
      <c r="U246" s="6"/>
      <c r="V246" s="6">
        <f>IF(Table1[[#This Row],[MoL]]="Yes",55,0)</f>
        <v>0</v>
      </c>
      <c r="W246" s="6">
        <f>IF(Table1[[#This Row],[Long MoL +3 Years]]="Yes",137.5,0)</f>
        <v>0</v>
      </c>
      <c r="X246" s="6">
        <f>IF(Table1[[#This Row],[Gender]]="Female",137.5,0)</f>
        <v>0</v>
      </c>
      <c r="Y246" s="6">
        <f>IF(Table1[[#This Row],[Education]]="Bachelors +",55,0)</f>
        <v>0</v>
      </c>
      <c r="Z246" s="6">
        <f>IF(Table1[[#This Row],[Salary]]&gt;=600,82.5,0)</f>
        <v>0</v>
      </c>
    </row>
    <row r="247" spans="1:26">
      <c r="A247" s="3">
        <f>Table1[[#This Row],[SL No.]]</f>
        <v>246</v>
      </c>
      <c r="B247">
        <f>Table1[[#This Row],[Case manager]]</f>
        <v>0</v>
      </c>
      <c r="C247">
        <f>Table1[[#This Row],[Ref No]]</f>
        <v>0</v>
      </c>
      <c r="D247">
        <f>Table1[[#This Row],[Name]]</f>
        <v>0</v>
      </c>
      <c r="E247" s="4" t="str">
        <f>'Placements 26'!F246</f>
        <v>-</v>
      </c>
      <c r="F247" s="4" t="e">
        <f t="shared" ca="1" si="22"/>
        <v>#VALUE!</v>
      </c>
      <c r="G247" s="4"/>
      <c r="H247" s="4"/>
      <c r="J247">
        <f>IF(Table3[[#This Row],[Placement Fee &amp; Variables]]&gt;0,0,1)</f>
        <v>1</v>
      </c>
      <c r="K247" s="4" t="e">
        <f>Table3[[#This Row],[Joining Date]]+180</f>
        <v>#VALUE!</v>
      </c>
      <c r="L247" t="e">
        <f t="shared" ca="1" si="23"/>
        <v>#VALUE!</v>
      </c>
      <c r="N247" t="e">
        <f ca="1">IF(Table3[[#This Row],[6M Stat]]="Claimable",1,0)</f>
        <v>#VALUE!</v>
      </c>
      <c r="O247" s="4" t="e">
        <f>Table3[[#This Row],[Joining Date]]+365</f>
        <v>#VALUE!</v>
      </c>
      <c r="Q247" t="e">
        <f t="shared" ca="1" si="13"/>
        <v>#VALUE!</v>
      </c>
      <c r="R247" t="e">
        <f ca="1">IF(Table3[[#This Row],[12 M Stat]]="Claimable",1,0)</f>
        <v>#VALUE!</v>
      </c>
      <c r="S247" t="e">
        <f ca="1">Table3[[#This Row],[Placement claim Highlight]]+Table3[[#This Row],[Highlight rule 6M]]+Table3[[#This Row],[Highlight rule 12 M]]</f>
        <v>#VALUE!</v>
      </c>
      <c r="T247" s="6">
        <f>SUM(Table3[[#This Row],[Placement Fee]:[Salary]])</f>
        <v>0</v>
      </c>
      <c r="U247" s="6"/>
      <c r="V247" s="6">
        <f>IF(Table1[[#This Row],[MoL]]="Yes",55,0)</f>
        <v>0</v>
      </c>
      <c r="W247" s="6">
        <f>IF(Table1[[#This Row],[Long MoL +3 Years]]="Yes",137.5,0)</f>
        <v>0</v>
      </c>
      <c r="X247" s="6">
        <f>IF(Table1[[#This Row],[Gender]]="Female",137.5,0)</f>
        <v>0</v>
      </c>
      <c r="Y247" s="6">
        <f>IF(Table1[[#This Row],[Education]]="Bachelors +",55,0)</f>
        <v>0</v>
      </c>
      <c r="Z247" s="6">
        <f>IF(Table1[[#This Row],[Salary]]&gt;=600,82.5,0)</f>
        <v>0</v>
      </c>
    </row>
    <row r="248" spans="1:26">
      <c r="A248" s="3">
        <f>Table1[[#This Row],[SL No.]]</f>
        <v>247</v>
      </c>
      <c r="B248">
        <f>Table1[[#This Row],[Case manager]]</f>
        <v>0</v>
      </c>
      <c r="C248">
        <f>Table1[[#This Row],[Ref No]]</f>
        <v>0</v>
      </c>
      <c r="D248">
        <f>Table1[[#This Row],[Name]]</f>
        <v>0</v>
      </c>
      <c r="E248" s="4" t="str">
        <f>'Placements 26'!F247</f>
        <v>-</v>
      </c>
      <c r="F248" s="4" t="e">
        <f t="shared" ca="1" si="22"/>
        <v>#VALUE!</v>
      </c>
      <c r="G248" s="4"/>
      <c r="H248" s="4"/>
      <c r="J248">
        <f>IF(Table3[[#This Row],[Placement Fee &amp; Variables]]&gt;0,0,1)</f>
        <v>1</v>
      </c>
      <c r="K248" s="4" t="e">
        <f>Table3[[#This Row],[Joining Date]]+180</f>
        <v>#VALUE!</v>
      </c>
      <c r="L248" t="e">
        <f t="shared" ca="1" si="23"/>
        <v>#VALUE!</v>
      </c>
      <c r="N248" t="e">
        <f ca="1">IF(Table3[[#This Row],[6M Stat]]="Claimable",1,0)</f>
        <v>#VALUE!</v>
      </c>
      <c r="O248" s="4" t="e">
        <f>Table3[[#This Row],[Joining Date]]+365</f>
        <v>#VALUE!</v>
      </c>
      <c r="Q248" t="e">
        <f t="shared" ca="1" si="13"/>
        <v>#VALUE!</v>
      </c>
      <c r="R248" t="e">
        <f ca="1">IF(Table3[[#This Row],[12 M Stat]]="Claimable",1,0)</f>
        <v>#VALUE!</v>
      </c>
      <c r="S248" t="e">
        <f ca="1">Table3[[#This Row],[Placement claim Highlight]]+Table3[[#This Row],[Highlight rule 6M]]+Table3[[#This Row],[Highlight rule 12 M]]</f>
        <v>#VALUE!</v>
      </c>
      <c r="T248" s="6">
        <f>SUM(Table3[[#This Row],[Placement Fee]:[Salary]])</f>
        <v>0</v>
      </c>
      <c r="U248" s="6"/>
      <c r="V248" s="6">
        <f>IF(Table1[[#This Row],[MoL]]="Yes",55,0)</f>
        <v>0</v>
      </c>
      <c r="W248" s="6">
        <f>IF(Table1[[#This Row],[Long MoL +3 Years]]="Yes",137.5,0)</f>
        <v>0</v>
      </c>
      <c r="X248" s="6">
        <f>IF(Table1[[#This Row],[Gender]]="Female",137.5,0)</f>
        <v>0</v>
      </c>
      <c r="Y248" s="6">
        <f>IF(Table1[[#This Row],[Education]]="Bachelors +",55,0)</f>
        <v>0</v>
      </c>
      <c r="Z248" s="6">
        <f>IF(Table1[[#This Row],[Salary]]&gt;=600,82.5,0)</f>
        <v>0</v>
      </c>
    </row>
    <row r="249" spans="1:26">
      <c r="A249" s="3">
        <f>Table1[[#This Row],[SL No.]]</f>
        <v>248</v>
      </c>
      <c r="B249">
        <f>Table1[[#This Row],[Case manager]]</f>
        <v>0</v>
      </c>
      <c r="C249">
        <f>Table1[[#This Row],[Ref No]]</f>
        <v>0</v>
      </c>
      <c r="D249">
        <f>Table1[[#This Row],[Name]]</f>
        <v>0</v>
      </c>
      <c r="E249" s="4" t="str">
        <f>'Placements 26'!F248</f>
        <v>-</v>
      </c>
      <c r="F249" s="4" t="e">
        <f t="shared" ca="1" si="22"/>
        <v>#VALUE!</v>
      </c>
      <c r="G249" s="4"/>
      <c r="H249" s="4"/>
      <c r="J249">
        <f>IF(Table3[[#This Row],[Placement Fee &amp; Variables]]&gt;0,0,1)</f>
        <v>1</v>
      </c>
      <c r="K249" s="4" t="e">
        <f>Table3[[#This Row],[Joining Date]]+180</f>
        <v>#VALUE!</v>
      </c>
      <c r="L249" t="e">
        <f t="shared" ca="1" si="23"/>
        <v>#VALUE!</v>
      </c>
      <c r="N249" t="e">
        <f ca="1">IF(Table3[[#This Row],[6M Stat]]="Claimable",1,0)</f>
        <v>#VALUE!</v>
      </c>
      <c r="O249" s="4" t="e">
        <f>Table3[[#This Row],[Joining Date]]+365</f>
        <v>#VALUE!</v>
      </c>
      <c r="Q249" t="e">
        <f t="shared" ca="1" si="13"/>
        <v>#VALUE!</v>
      </c>
      <c r="R249" t="e">
        <f ca="1">IF(Table3[[#This Row],[12 M Stat]]="Claimable",1,0)</f>
        <v>#VALUE!</v>
      </c>
      <c r="S249" t="e">
        <f ca="1">Table3[[#This Row],[Placement claim Highlight]]+Table3[[#This Row],[Highlight rule 6M]]+Table3[[#This Row],[Highlight rule 12 M]]</f>
        <v>#VALUE!</v>
      </c>
      <c r="T249" s="6">
        <f>SUM(Table3[[#This Row],[Placement Fee]:[Salary]])</f>
        <v>0</v>
      </c>
      <c r="U249" s="6"/>
      <c r="V249" s="6">
        <f>IF(Table1[[#This Row],[MoL]]="Yes",55,0)</f>
        <v>0</v>
      </c>
      <c r="W249" s="6">
        <f>IF(Table1[[#This Row],[Long MoL +3 Years]]="Yes",137.5,0)</f>
        <v>0</v>
      </c>
      <c r="X249" s="6">
        <f>IF(Table1[[#This Row],[Gender]]="Female",137.5,0)</f>
        <v>0</v>
      </c>
      <c r="Y249" s="6">
        <f>IF(Table1[[#This Row],[Education]]="Bachelors +",55,0)</f>
        <v>0</v>
      </c>
      <c r="Z249" s="6">
        <f>IF(Table1[[#This Row],[Salary]]&gt;=600,82.5,0)</f>
        <v>0</v>
      </c>
    </row>
    <row r="250" spans="1:26">
      <c r="A250" s="3">
        <f>Table1[[#This Row],[SL No.]]</f>
        <v>249</v>
      </c>
      <c r="B250">
        <f>Table1[[#This Row],[Case manager]]</f>
        <v>0</v>
      </c>
      <c r="C250">
        <f>Table1[[#This Row],[Ref No]]</f>
        <v>0</v>
      </c>
      <c r="D250">
        <f>Table1[[#This Row],[Name]]</f>
        <v>0</v>
      </c>
      <c r="E250" s="4" t="str">
        <f>'Placements 26'!F249</f>
        <v>-</v>
      </c>
      <c r="F250" s="4" t="e">
        <f t="shared" ca="1" si="22"/>
        <v>#VALUE!</v>
      </c>
      <c r="G250" s="4"/>
      <c r="H250" s="4"/>
      <c r="J250">
        <f>IF(Table3[[#This Row],[Placement Fee &amp; Variables]]&gt;0,0,1)</f>
        <v>1</v>
      </c>
      <c r="K250" s="4" t="e">
        <f>Table3[[#This Row],[Joining Date]]+180</f>
        <v>#VALUE!</v>
      </c>
      <c r="L250" t="e">
        <f t="shared" ca="1" si="23"/>
        <v>#VALUE!</v>
      </c>
      <c r="N250" t="e">
        <f ca="1">IF(Table3[[#This Row],[6M Stat]]="Claimable",1,0)</f>
        <v>#VALUE!</v>
      </c>
      <c r="O250" s="4" t="e">
        <f>Table3[[#This Row],[Joining Date]]+365</f>
        <v>#VALUE!</v>
      </c>
      <c r="Q250" t="e">
        <f t="shared" ca="1" si="13"/>
        <v>#VALUE!</v>
      </c>
      <c r="R250" t="e">
        <f ca="1">IF(Table3[[#This Row],[12 M Stat]]="Claimable",1,0)</f>
        <v>#VALUE!</v>
      </c>
      <c r="S250" t="e">
        <f ca="1">Table3[[#This Row],[Placement claim Highlight]]+Table3[[#This Row],[Highlight rule 6M]]+Table3[[#This Row],[Highlight rule 12 M]]</f>
        <v>#VALUE!</v>
      </c>
      <c r="T250" s="6">
        <f>SUM(Table3[[#This Row],[Placement Fee]:[Salary]])</f>
        <v>0</v>
      </c>
      <c r="U250" s="6"/>
      <c r="V250" s="6">
        <f>IF(Table1[[#This Row],[MoL]]="Yes",55,0)</f>
        <v>0</v>
      </c>
      <c r="W250" s="6">
        <f>IF(Table1[[#This Row],[Long MoL +3 Years]]="Yes",137.5,0)</f>
        <v>0</v>
      </c>
      <c r="X250" s="6">
        <f>IF(Table1[[#This Row],[Gender]]="Female",137.5,0)</f>
        <v>0</v>
      </c>
      <c r="Y250" s="6">
        <f>IF(Table1[[#This Row],[Education]]="Bachelors +",55,0)</f>
        <v>0</v>
      </c>
      <c r="Z250" s="6">
        <f>IF(Table1[[#This Row],[Salary]]&gt;=600,82.5,0)</f>
        <v>0</v>
      </c>
    </row>
    <row r="251" spans="1:26">
      <c r="A251" s="3">
        <f>Table1[[#This Row],[SL No.]]</f>
        <v>250</v>
      </c>
      <c r="B251">
        <f>Table1[[#This Row],[Case manager]]</f>
        <v>0</v>
      </c>
      <c r="C251">
        <f>Table1[[#This Row],[Ref No]]</f>
        <v>0</v>
      </c>
      <c r="D251">
        <f>Table1[[#This Row],[Name]]</f>
        <v>0</v>
      </c>
      <c r="E251" s="4" t="str">
        <f>'Placements 26'!F250</f>
        <v>-</v>
      </c>
      <c r="F251" s="4" t="e">
        <f t="shared" ca="1" si="22"/>
        <v>#VALUE!</v>
      </c>
      <c r="G251" s="4"/>
      <c r="H251" s="4"/>
      <c r="J251">
        <f>IF(Table3[[#This Row],[Placement Fee &amp; Variables]]&gt;0,0,1)</f>
        <v>1</v>
      </c>
      <c r="K251" s="4" t="e">
        <f>Table3[[#This Row],[Joining Date]]+180</f>
        <v>#VALUE!</v>
      </c>
      <c r="L251" t="e">
        <f t="shared" ca="1" si="23"/>
        <v>#VALUE!</v>
      </c>
      <c r="N251" t="e">
        <f ca="1">IF(Table3[[#This Row],[6M Stat]]="Claimable",1,0)</f>
        <v>#VALUE!</v>
      </c>
      <c r="O251" s="4" t="e">
        <f>Table3[[#This Row],[Joining Date]]+365</f>
        <v>#VALUE!</v>
      </c>
      <c r="Q251" t="e">
        <f t="shared" ca="1" si="13"/>
        <v>#VALUE!</v>
      </c>
      <c r="R251" t="e">
        <f ca="1">IF(Table3[[#This Row],[12 M Stat]]="Claimable",1,0)</f>
        <v>#VALUE!</v>
      </c>
      <c r="S251" t="e">
        <f ca="1">Table3[[#This Row],[Placement claim Highlight]]+Table3[[#This Row],[Highlight rule 6M]]+Table3[[#This Row],[Highlight rule 12 M]]</f>
        <v>#VALUE!</v>
      </c>
      <c r="T251" s="6">
        <f>SUM(Table3[[#This Row],[Placement Fee]:[Salary]])</f>
        <v>0</v>
      </c>
      <c r="U251" s="6"/>
      <c r="V251" s="6">
        <f>IF(Table1[[#This Row],[MoL]]="Yes",55,0)</f>
        <v>0</v>
      </c>
      <c r="W251" s="6">
        <f>IF(Table1[[#This Row],[Long MoL +3 Years]]="Yes",137.5,0)</f>
        <v>0</v>
      </c>
      <c r="X251" s="6">
        <f>IF(Table1[[#This Row],[Gender]]="Female",137.5,0)</f>
        <v>0</v>
      </c>
      <c r="Y251" s="6">
        <f>IF(Table1[[#This Row],[Education]]="Bachelors +",55,0)</f>
        <v>0</v>
      </c>
      <c r="Z251" s="6">
        <f>IF(Table1[[#This Row],[Salary]]&gt;=600,82.5,0)</f>
        <v>0</v>
      </c>
    </row>
    <row r="252" spans="1:26">
      <c r="A252" s="3">
        <f>Table1[[#This Row],[SL No.]]</f>
        <v>251</v>
      </c>
      <c r="B252">
        <f>Table1[[#This Row],[Case manager]]</f>
        <v>0</v>
      </c>
      <c r="C252">
        <f>Table1[[#This Row],[Ref No]]</f>
        <v>0</v>
      </c>
      <c r="D252">
        <f>Table1[[#This Row],[Name]]</f>
        <v>0</v>
      </c>
      <c r="E252" s="4" t="str">
        <f>'Placements 26'!F251</f>
        <v>-</v>
      </c>
      <c r="F252" s="4" t="e">
        <f t="shared" ca="1" si="22"/>
        <v>#VALUE!</v>
      </c>
      <c r="G252" s="4"/>
      <c r="H252" s="4"/>
      <c r="J252">
        <f>IF(Table3[[#This Row],[Placement Fee &amp; Variables]]&gt;0,0,1)</f>
        <v>1</v>
      </c>
      <c r="K252" s="4" t="e">
        <f>Table3[[#This Row],[Joining Date]]+180</f>
        <v>#VALUE!</v>
      </c>
      <c r="L252" t="e">
        <f t="shared" ca="1" si="23"/>
        <v>#VALUE!</v>
      </c>
      <c r="N252" t="e">
        <f ca="1">IF(Table3[[#This Row],[6M Stat]]="Claimable",1,0)</f>
        <v>#VALUE!</v>
      </c>
      <c r="O252" s="4" t="e">
        <f>Table3[[#This Row],[Joining Date]]+365</f>
        <v>#VALUE!</v>
      </c>
      <c r="Q252" t="e">
        <f t="shared" ca="1" si="13"/>
        <v>#VALUE!</v>
      </c>
      <c r="R252" t="e">
        <f ca="1">IF(Table3[[#This Row],[12 M Stat]]="Claimable",1,0)</f>
        <v>#VALUE!</v>
      </c>
      <c r="S252" t="e">
        <f ca="1">Table3[[#This Row],[Placement claim Highlight]]+Table3[[#This Row],[Highlight rule 6M]]+Table3[[#This Row],[Highlight rule 12 M]]</f>
        <v>#VALUE!</v>
      </c>
      <c r="T252" s="6">
        <f>SUM(Table3[[#This Row],[Placement Fee]:[Salary]])</f>
        <v>0</v>
      </c>
      <c r="U252" s="6"/>
      <c r="V252" s="6">
        <f>IF(Table1[[#This Row],[MoL]]="Yes",55,0)</f>
        <v>0</v>
      </c>
      <c r="W252" s="6">
        <f>IF(Table1[[#This Row],[Long MoL +3 Years]]="Yes",137.5,0)</f>
        <v>0</v>
      </c>
      <c r="X252" s="6">
        <f>IF(Table1[[#This Row],[Gender]]="Female",137.5,0)</f>
        <v>0</v>
      </c>
      <c r="Y252" s="6">
        <f>IF(Table1[[#This Row],[Education]]="Bachelors +",55,0)</f>
        <v>0</v>
      </c>
      <c r="Z252" s="6">
        <f>IF(Table1[[#This Row],[Salary]]&gt;=600,82.5,0)</f>
        <v>0</v>
      </c>
    </row>
    <row r="253" spans="1:26">
      <c r="A253" s="3">
        <f>Table1[[#This Row],[SL No.]]</f>
        <v>252</v>
      </c>
      <c r="B253">
        <f>Table1[[#This Row],[Case manager]]</f>
        <v>0</v>
      </c>
      <c r="C253">
        <f>Table1[[#This Row],[Ref No]]</f>
        <v>0</v>
      </c>
      <c r="D253">
        <f>Table1[[#This Row],[Name]]</f>
        <v>0</v>
      </c>
      <c r="E253" s="4" t="str">
        <f>'Placements 26'!F252</f>
        <v>-</v>
      </c>
      <c r="F253" s="4" t="e">
        <f t="shared" ca="1" si="22"/>
        <v>#VALUE!</v>
      </c>
      <c r="G253" s="4"/>
      <c r="H253" s="4"/>
      <c r="J253">
        <f>IF(Table3[[#This Row],[Placement Fee &amp; Variables]]&gt;0,0,1)</f>
        <v>1</v>
      </c>
      <c r="K253" s="4" t="e">
        <f>Table3[[#This Row],[Joining Date]]+180</f>
        <v>#VALUE!</v>
      </c>
      <c r="L253" t="e">
        <f t="shared" ca="1" si="23"/>
        <v>#VALUE!</v>
      </c>
      <c r="N253" t="e">
        <f ca="1">IF(Table3[[#This Row],[6M Stat]]="Claimable",1,0)</f>
        <v>#VALUE!</v>
      </c>
      <c r="O253" s="4" t="e">
        <f>Table3[[#This Row],[Joining Date]]+365</f>
        <v>#VALUE!</v>
      </c>
      <c r="Q253" t="e">
        <f t="shared" ca="1" si="13"/>
        <v>#VALUE!</v>
      </c>
      <c r="R253" t="e">
        <f ca="1">IF(Table3[[#This Row],[12 M Stat]]="Claimable",1,0)</f>
        <v>#VALUE!</v>
      </c>
      <c r="S253" t="e">
        <f ca="1">Table3[[#This Row],[Placement claim Highlight]]+Table3[[#This Row],[Highlight rule 6M]]+Table3[[#This Row],[Highlight rule 12 M]]</f>
        <v>#VALUE!</v>
      </c>
      <c r="T253" s="6">
        <f>SUM(Table3[[#This Row],[Placement Fee]:[Salary]])</f>
        <v>0</v>
      </c>
      <c r="U253" s="6"/>
      <c r="V253" s="6">
        <f>IF(Table1[[#This Row],[MoL]]="Yes",55,0)</f>
        <v>0</v>
      </c>
      <c r="W253" s="6">
        <f>IF(Table1[[#This Row],[Long MoL +3 Years]]="Yes",137.5,0)</f>
        <v>0</v>
      </c>
      <c r="X253" s="6">
        <f>IF(Table1[[#This Row],[Gender]]="Female",137.5,0)</f>
        <v>0</v>
      </c>
      <c r="Y253" s="6">
        <f>IF(Table1[[#This Row],[Education]]="Bachelors +",55,0)</f>
        <v>0</v>
      </c>
      <c r="Z253" s="6">
        <f>IF(Table1[[#This Row],[Salary]]&gt;=600,82.5,0)</f>
        <v>0</v>
      </c>
    </row>
    <row r="254" spans="1:26">
      <c r="A254" s="3">
        <f>Table1[[#This Row],[SL No.]]</f>
        <v>253</v>
      </c>
      <c r="B254">
        <f>Table1[[#This Row],[Case manager]]</f>
        <v>0</v>
      </c>
      <c r="C254">
        <f>Table1[[#This Row],[Ref No]]</f>
        <v>0</v>
      </c>
      <c r="D254">
        <f>Table1[[#This Row],[Name]]</f>
        <v>0</v>
      </c>
      <c r="E254" s="4" t="str">
        <f>'Placements 26'!F253</f>
        <v>-</v>
      </c>
      <c r="F254" s="4" t="e">
        <f t="shared" ca="1" si="22"/>
        <v>#VALUE!</v>
      </c>
      <c r="G254" s="4"/>
      <c r="H254" s="4"/>
      <c r="J254">
        <f>IF(Table3[[#This Row],[Placement Fee &amp; Variables]]&gt;0,0,1)</f>
        <v>1</v>
      </c>
      <c r="K254" s="4" t="e">
        <f>Table3[[#This Row],[Joining Date]]+180</f>
        <v>#VALUE!</v>
      </c>
      <c r="L254" t="e">
        <f t="shared" ca="1" si="23"/>
        <v>#VALUE!</v>
      </c>
      <c r="N254" t="e">
        <f ca="1">IF(Table3[[#This Row],[6M Stat]]="Claimable",1,0)</f>
        <v>#VALUE!</v>
      </c>
      <c r="O254" s="4" t="e">
        <f>Table3[[#This Row],[Joining Date]]+365</f>
        <v>#VALUE!</v>
      </c>
      <c r="Q254" t="e">
        <f t="shared" ca="1" si="13"/>
        <v>#VALUE!</v>
      </c>
      <c r="R254" t="e">
        <f ca="1">IF(Table3[[#This Row],[12 M Stat]]="Claimable",1,0)</f>
        <v>#VALUE!</v>
      </c>
      <c r="S254" t="e">
        <f ca="1">Table3[[#This Row],[Placement claim Highlight]]+Table3[[#This Row],[Highlight rule 6M]]+Table3[[#This Row],[Highlight rule 12 M]]</f>
        <v>#VALUE!</v>
      </c>
      <c r="T254" s="6">
        <f>SUM(Table3[[#This Row],[Placement Fee]:[Salary]])</f>
        <v>0</v>
      </c>
      <c r="U254" s="6"/>
      <c r="V254" s="6">
        <f>IF(Table1[[#This Row],[MoL]]="Yes",55,0)</f>
        <v>0</v>
      </c>
      <c r="W254" s="6">
        <f>IF(Table1[[#This Row],[Long MoL +3 Years]]="Yes",137.5,0)</f>
        <v>0</v>
      </c>
      <c r="X254" s="6">
        <f>IF(Table1[[#This Row],[Gender]]="Female",137.5,0)</f>
        <v>0</v>
      </c>
      <c r="Y254" s="6">
        <f>IF(Table1[[#This Row],[Education]]="Bachelors +",55,0)</f>
        <v>0</v>
      </c>
      <c r="Z254" s="6">
        <f>IF(Table1[[#This Row],[Salary]]&gt;=600,82.5,0)</f>
        <v>0</v>
      </c>
    </row>
    <row r="255" spans="1:26">
      <c r="A255" s="3">
        <f>Table1[[#This Row],[SL No.]]</f>
        <v>254</v>
      </c>
      <c r="B255">
        <f>Table1[[#This Row],[Case manager]]</f>
        <v>0</v>
      </c>
      <c r="C255">
        <f>Table1[[#This Row],[Ref No]]</f>
        <v>0</v>
      </c>
      <c r="D255">
        <f>Table1[[#This Row],[Name]]</f>
        <v>0</v>
      </c>
      <c r="E255" s="4" t="str">
        <f>'Placements 26'!F254</f>
        <v>-</v>
      </c>
      <c r="F255" s="4" t="e">
        <f t="shared" ca="1" si="22"/>
        <v>#VALUE!</v>
      </c>
      <c r="G255" s="4"/>
      <c r="H255" s="4"/>
      <c r="J255">
        <f>IF(Table3[[#This Row],[Placement Fee &amp; Variables]]&gt;0,0,1)</f>
        <v>1</v>
      </c>
      <c r="K255" s="4" t="e">
        <f>Table3[[#This Row],[Joining Date]]+180</f>
        <v>#VALUE!</v>
      </c>
      <c r="L255" t="e">
        <f t="shared" ca="1" si="23"/>
        <v>#VALUE!</v>
      </c>
      <c r="N255" t="e">
        <f ca="1">IF(Table3[[#This Row],[6M Stat]]="Claimable",1,0)</f>
        <v>#VALUE!</v>
      </c>
      <c r="O255" s="4" t="e">
        <f>Table3[[#This Row],[Joining Date]]+365</f>
        <v>#VALUE!</v>
      </c>
      <c r="Q255" t="e">
        <f t="shared" ca="1" si="13"/>
        <v>#VALUE!</v>
      </c>
      <c r="R255" t="e">
        <f ca="1">IF(Table3[[#This Row],[12 M Stat]]="Claimable",1,0)</f>
        <v>#VALUE!</v>
      </c>
      <c r="S255" t="e">
        <f ca="1">Table3[[#This Row],[Placement claim Highlight]]+Table3[[#This Row],[Highlight rule 6M]]+Table3[[#This Row],[Highlight rule 12 M]]</f>
        <v>#VALUE!</v>
      </c>
      <c r="T255" s="6">
        <f>SUM(Table3[[#This Row],[Placement Fee]:[Salary]])</f>
        <v>0</v>
      </c>
      <c r="U255" s="6"/>
      <c r="V255" s="6">
        <f>IF(Table1[[#This Row],[MoL]]="Yes",55,0)</f>
        <v>0</v>
      </c>
      <c r="W255" s="6">
        <f>IF(Table1[[#This Row],[Long MoL +3 Years]]="Yes",137.5,0)</f>
        <v>0</v>
      </c>
      <c r="X255" s="6">
        <f>IF(Table1[[#This Row],[Gender]]="Female",137.5,0)</f>
        <v>0</v>
      </c>
      <c r="Y255" s="6">
        <f>IF(Table1[[#This Row],[Education]]="Bachelors +",55,0)</f>
        <v>0</v>
      </c>
      <c r="Z255" s="6">
        <f>IF(Table1[[#This Row],[Salary]]&gt;=600,82.5,0)</f>
        <v>0</v>
      </c>
    </row>
    <row r="256" spans="1:26">
      <c r="A256" s="3">
        <f>Table1[[#This Row],[SL No.]]</f>
        <v>255</v>
      </c>
      <c r="B256">
        <f>Table1[[#This Row],[Case manager]]</f>
        <v>0</v>
      </c>
      <c r="C256">
        <f>Table1[[#This Row],[Ref No]]</f>
        <v>0</v>
      </c>
      <c r="D256">
        <f>Table1[[#This Row],[Name]]</f>
        <v>0</v>
      </c>
      <c r="E256" s="4" t="str">
        <f>'Placements 26'!F255</f>
        <v>-</v>
      </c>
      <c r="F256" s="4" t="e">
        <f t="shared" ca="1" si="22"/>
        <v>#VALUE!</v>
      </c>
      <c r="G256" s="4"/>
      <c r="H256" s="4"/>
      <c r="J256">
        <f>IF(Table3[[#This Row],[Placement Fee &amp; Variables]]&gt;0,0,1)</f>
        <v>1</v>
      </c>
      <c r="K256" s="4" t="e">
        <f>Table3[[#This Row],[Joining Date]]+180</f>
        <v>#VALUE!</v>
      </c>
      <c r="L256" t="e">
        <f t="shared" ca="1" si="23"/>
        <v>#VALUE!</v>
      </c>
      <c r="N256" t="e">
        <f ca="1">IF(Table3[[#This Row],[6M Stat]]="Claimable",1,0)</f>
        <v>#VALUE!</v>
      </c>
      <c r="O256" s="4" t="e">
        <f>Table3[[#This Row],[Joining Date]]+365</f>
        <v>#VALUE!</v>
      </c>
      <c r="Q256" t="e">
        <f t="shared" ca="1" si="13"/>
        <v>#VALUE!</v>
      </c>
      <c r="R256" t="e">
        <f ca="1">IF(Table3[[#This Row],[12 M Stat]]="Claimable",1,0)</f>
        <v>#VALUE!</v>
      </c>
      <c r="S256" t="e">
        <f ca="1">Table3[[#This Row],[Placement claim Highlight]]+Table3[[#This Row],[Highlight rule 6M]]+Table3[[#This Row],[Highlight rule 12 M]]</f>
        <v>#VALUE!</v>
      </c>
      <c r="T256" s="6">
        <f>SUM(Table3[[#This Row],[Placement Fee]:[Salary]])</f>
        <v>0</v>
      </c>
      <c r="U256" s="6"/>
      <c r="V256" s="6">
        <f>IF(Table1[[#This Row],[MoL]]="Yes",55,0)</f>
        <v>0</v>
      </c>
      <c r="W256" s="6">
        <f>IF(Table1[[#This Row],[Long MoL +3 Years]]="Yes",137.5,0)</f>
        <v>0</v>
      </c>
      <c r="X256" s="6">
        <f>IF(Table1[[#This Row],[Gender]]="Female",137.5,0)</f>
        <v>0</v>
      </c>
      <c r="Y256" s="6">
        <f>IF(Table1[[#This Row],[Education]]="Bachelors +",55,0)</f>
        <v>0</v>
      </c>
      <c r="Z256" s="6">
        <f>IF(Table1[[#This Row],[Salary]]&gt;=600,82.5,0)</f>
        <v>0</v>
      </c>
    </row>
    <row r="257" spans="1:26">
      <c r="A257" s="3">
        <f>Table1[[#This Row],[SL No.]]</f>
        <v>256</v>
      </c>
      <c r="B257">
        <f>Table1[[#This Row],[Case manager]]</f>
        <v>0</v>
      </c>
      <c r="C257">
        <f>Table1[[#This Row],[Ref No]]</f>
        <v>0</v>
      </c>
      <c r="D257">
        <f>Table1[[#This Row],[Name]]</f>
        <v>0</v>
      </c>
      <c r="E257" s="4" t="str">
        <f>'Placements 26'!F256</f>
        <v>-</v>
      </c>
      <c r="F257" s="4" t="e">
        <f t="shared" ca="1" si="22"/>
        <v>#VALUE!</v>
      </c>
      <c r="G257" s="4"/>
      <c r="H257" s="4"/>
      <c r="J257">
        <f>IF(Table3[[#This Row],[Placement Fee &amp; Variables]]&gt;0,0,1)</f>
        <v>1</v>
      </c>
      <c r="K257" s="4" t="e">
        <f>Table3[[#This Row],[Joining Date]]+180</f>
        <v>#VALUE!</v>
      </c>
      <c r="L257" t="e">
        <f t="shared" ca="1" si="23"/>
        <v>#VALUE!</v>
      </c>
      <c r="N257" t="e">
        <f ca="1">IF(Table3[[#This Row],[6M Stat]]="Claimable",1,0)</f>
        <v>#VALUE!</v>
      </c>
      <c r="O257" s="4" t="e">
        <f>Table3[[#This Row],[Joining Date]]+365</f>
        <v>#VALUE!</v>
      </c>
      <c r="Q257" t="e">
        <f t="shared" ca="1" si="13"/>
        <v>#VALUE!</v>
      </c>
      <c r="R257" t="e">
        <f ca="1">IF(Table3[[#This Row],[12 M Stat]]="Claimable",1,0)</f>
        <v>#VALUE!</v>
      </c>
      <c r="S257" t="e">
        <f ca="1">Table3[[#This Row],[Placement claim Highlight]]+Table3[[#This Row],[Highlight rule 6M]]+Table3[[#This Row],[Highlight rule 12 M]]</f>
        <v>#VALUE!</v>
      </c>
      <c r="T257" s="6">
        <f>SUM(Table3[[#This Row],[Placement Fee]:[Salary]])</f>
        <v>0</v>
      </c>
      <c r="U257" s="6"/>
      <c r="V257" s="6">
        <f>IF(Table1[[#This Row],[MoL]]="Yes",55,0)</f>
        <v>0</v>
      </c>
      <c r="W257" s="6">
        <f>IF(Table1[[#This Row],[Long MoL +3 Years]]="Yes",137.5,0)</f>
        <v>0</v>
      </c>
      <c r="X257" s="6">
        <f>IF(Table1[[#This Row],[Gender]]="Female",137.5,0)</f>
        <v>0</v>
      </c>
      <c r="Y257" s="6">
        <f>IF(Table1[[#This Row],[Education]]="Bachelors +",55,0)</f>
        <v>0</v>
      </c>
      <c r="Z257" s="6">
        <f>IF(Table1[[#This Row],[Salary]]&gt;=600,82.5,0)</f>
        <v>0</v>
      </c>
    </row>
    <row r="258" spans="1:26">
      <c r="A258" s="3">
        <f>Table1[[#This Row],[SL No.]]</f>
        <v>257</v>
      </c>
      <c r="B258">
        <f>Table1[[#This Row],[Case manager]]</f>
        <v>0</v>
      </c>
      <c r="C258">
        <f>Table1[[#This Row],[Ref No]]</f>
        <v>0</v>
      </c>
      <c r="D258">
        <f>Table1[[#This Row],[Name]]</f>
        <v>0</v>
      </c>
      <c r="E258" s="4" t="str">
        <f>'Placements 26'!F257</f>
        <v>-</v>
      </c>
      <c r="F258" s="4" t="e">
        <f t="shared" ca="1" si="22"/>
        <v>#VALUE!</v>
      </c>
      <c r="G258" s="4"/>
      <c r="H258" s="4"/>
      <c r="J258">
        <f>IF(Table3[[#This Row],[Placement Fee &amp; Variables]]&gt;0,0,1)</f>
        <v>1</v>
      </c>
      <c r="K258" s="4" t="e">
        <f>Table3[[#This Row],[Joining Date]]+180</f>
        <v>#VALUE!</v>
      </c>
      <c r="L258" t="e">
        <f t="shared" ca="1" si="23"/>
        <v>#VALUE!</v>
      </c>
      <c r="N258" t="e">
        <f ca="1">IF(Table3[[#This Row],[6M Stat]]="Claimable",1,0)</f>
        <v>#VALUE!</v>
      </c>
      <c r="O258" s="4" t="e">
        <f>Table3[[#This Row],[Joining Date]]+365</f>
        <v>#VALUE!</v>
      </c>
      <c r="Q258" t="e">
        <f t="shared" ca="1" si="13"/>
        <v>#VALUE!</v>
      </c>
      <c r="R258" t="e">
        <f ca="1">IF(Table3[[#This Row],[12 M Stat]]="Claimable",1,0)</f>
        <v>#VALUE!</v>
      </c>
      <c r="S258" t="e">
        <f ca="1">Table3[[#This Row],[Placement claim Highlight]]+Table3[[#This Row],[Highlight rule 6M]]+Table3[[#This Row],[Highlight rule 12 M]]</f>
        <v>#VALUE!</v>
      </c>
      <c r="T258" s="6">
        <f>SUM(Table3[[#This Row],[Placement Fee]:[Salary]])</f>
        <v>0</v>
      </c>
      <c r="U258" s="6"/>
      <c r="V258" s="6">
        <f>IF(Table1[[#This Row],[MoL]]="Yes",55,0)</f>
        <v>0</v>
      </c>
      <c r="W258" s="6">
        <f>IF(Table1[[#This Row],[Long MoL +3 Years]]="Yes",137.5,0)</f>
        <v>0</v>
      </c>
      <c r="X258" s="6">
        <f>IF(Table1[[#This Row],[Gender]]="Female",137.5,0)</f>
        <v>0</v>
      </c>
      <c r="Y258" s="6">
        <f>IF(Table1[[#This Row],[Education]]="Bachelors +",55,0)</f>
        <v>0</v>
      </c>
      <c r="Z258" s="6">
        <f>IF(Table1[[#This Row],[Salary]]&gt;=600,82.5,0)</f>
        <v>0</v>
      </c>
    </row>
    <row r="259" spans="1:26">
      <c r="A259" s="3">
        <f>Table1[[#This Row],[SL No.]]</f>
        <v>258</v>
      </c>
      <c r="B259">
        <f>Table1[[#This Row],[Case manager]]</f>
        <v>0</v>
      </c>
      <c r="C259">
        <f>Table1[[#This Row],[Ref No]]</f>
        <v>0</v>
      </c>
      <c r="D259">
        <f>Table1[[#This Row],[Name]]</f>
        <v>0</v>
      </c>
      <c r="E259" s="4" t="str">
        <f>'Placements 26'!F258</f>
        <v>-</v>
      </c>
      <c r="F259" s="4" t="e">
        <f t="shared" ca="1" si="22"/>
        <v>#VALUE!</v>
      </c>
      <c r="G259" s="4"/>
      <c r="H259" s="4"/>
      <c r="J259">
        <f>IF(Table3[[#This Row],[Placement Fee &amp; Variables]]&gt;0,0,1)</f>
        <v>1</v>
      </c>
      <c r="K259" s="4" t="e">
        <f>Table3[[#This Row],[Joining Date]]+180</f>
        <v>#VALUE!</v>
      </c>
      <c r="L259" t="e">
        <f t="shared" ca="1" si="23"/>
        <v>#VALUE!</v>
      </c>
      <c r="N259" t="e">
        <f ca="1">IF(Table3[[#This Row],[6M Stat]]="Claimable",1,0)</f>
        <v>#VALUE!</v>
      </c>
      <c r="O259" s="4" t="e">
        <f>Table3[[#This Row],[Joining Date]]+365</f>
        <v>#VALUE!</v>
      </c>
      <c r="Q259" t="e">
        <f t="shared" ref="Q259:Q322" ca="1" si="24">IF(AND(P259="", O259&lt;=TODAY()), "Claimable", "")</f>
        <v>#VALUE!</v>
      </c>
      <c r="R259" t="e">
        <f ca="1">IF(Table3[[#This Row],[12 M Stat]]="Claimable",1,0)</f>
        <v>#VALUE!</v>
      </c>
      <c r="S259" t="e">
        <f ca="1">Table3[[#This Row],[Placement claim Highlight]]+Table3[[#This Row],[Highlight rule 6M]]+Table3[[#This Row],[Highlight rule 12 M]]</f>
        <v>#VALUE!</v>
      </c>
      <c r="T259" s="6">
        <f>SUM(Table3[[#This Row],[Placement Fee]:[Salary]])</f>
        <v>0</v>
      </c>
      <c r="U259" s="6"/>
      <c r="V259" s="6">
        <f>IF(Table1[[#This Row],[MoL]]="Yes",55,0)</f>
        <v>0</v>
      </c>
      <c r="W259" s="6">
        <f>IF(Table1[[#This Row],[Long MoL +3 Years]]="Yes",137.5,0)</f>
        <v>0</v>
      </c>
      <c r="X259" s="6">
        <f>IF(Table1[[#This Row],[Gender]]="Female",137.5,0)</f>
        <v>0</v>
      </c>
      <c r="Y259" s="6">
        <f>IF(Table1[[#This Row],[Education]]="Bachelors +",55,0)</f>
        <v>0</v>
      </c>
      <c r="Z259" s="6">
        <f>IF(Table1[[#This Row],[Salary]]&gt;=600,82.5,0)</f>
        <v>0</v>
      </c>
    </row>
    <row r="260" spans="1:26">
      <c r="A260" s="3">
        <f>Table1[[#This Row],[SL No.]]</f>
        <v>259</v>
      </c>
      <c r="B260">
        <f>Table1[[#This Row],[Case manager]]</f>
        <v>0</v>
      </c>
      <c r="C260">
        <f>Table1[[#This Row],[Ref No]]</f>
        <v>0</v>
      </c>
      <c r="D260">
        <f>Table1[[#This Row],[Name]]</f>
        <v>0</v>
      </c>
      <c r="E260" s="4" t="str">
        <f>'Placements 26'!F259</f>
        <v>-</v>
      </c>
      <c r="F260" s="4" t="e">
        <f t="shared" ca="1" si="22"/>
        <v>#VALUE!</v>
      </c>
      <c r="G260" s="4"/>
      <c r="H260" s="4"/>
      <c r="J260">
        <f>IF(Table3[[#This Row],[Placement Fee &amp; Variables]]&gt;0,0,1)</f>
        <v>1</v>
      </c>
      <c r="K260" s="4" t="e">
        <f>Table3[[#This Row],[Joining Date]]+180</f>
        <v>#VALUE!</v>
      </c>
      <c r="L260" t="e">
        <f t="shared" ca="1" si="23"/>
        <v>#VALUE!</v>
      </c>
      <c r="N260" t="e">
        <f ca="1">IF(Table3[[#This Row],[6M Stat]]="Claimable",1,0)</f>
        <v>#VALUE!</v>
      </c>
      <c r="O260" s="4" t="e">
        <f>Table3[[#This Row],[Joining Date]]+365</f>
        <v>#VALUE!</v>
      </c>
      <c r="Q260" t="e">
        <f t="shared" ca="1" si="24"/>
        <v>#VALUE!</v>
      </c>
      <c r="R260" t="e">
        <f ca="1">IF(Table3[[#This Row],[12 M Stat]]="Claimable",1,0)</f>
        <v>#VALUE!</v>
      </c>
      <c r="S260" t="e">
        <f ca="1">Table3[[#This Row],[Placement claim Highlight]]+Table3[[#This Row],[Highlight rule 6M]]+Table3[[#This Row],[Highlight rule 12 M]]</f>
        <v>#VALUE!</v>
      </c>
      <c r="T260" s="6">
        <f>SUM(Table3[[#This Row],[Placement Fee]:[Salary]])</f>
        <v>0</v>
      </c>
      <c r="U260" s="6"/>
      <c r="V260" s="6">
        <f>IF(Table1[[#This Row],[MoL]]="Yes",55,0)</f>
        <v>0</v>
      </c>
      <c r="W260" s="6">
        <f>IF(Table1[[#This Row],[Long MoL +3 Years]]="Yes",137.5,0)</f>
        <v>0</v>
      </c>
      <c r="X260" s="6">
        <f>IF(Table1[[#This Row],[Gender]]="Female",137.5,0)</f>
        <v>0</v>
      </c>
      <c r="Y260" s="6">
        <f>IF(Table1[[#This Row],[Education]]="Bachelors +",55,0)</f>
        <v>0</v>
      </c>
      <c r="Z260" s="6">
        <f>IF(Table1[[#This Row],[Salary]]&gt;=600,82.5,0)</f>
        <v>0</v>
      </c>
    </row>
    <row r="261" spans="1:26">
      <c r="A261" s="3">
        <f>Table1[[#This Row],[SL No.]]</f>
        <v>260</v>
      </c>
      <c r="B261">
        <f>Table1[[#This Row],[Case manager]]</f>
        <v>0</v>
      </c>
      <c r="C261">
        <f>Table1[[#This Row],[Ref No]]</f>
        <v>0</v>
      </c>
      <c r="D261">
        <f>Table1[[#This Row],[Name]]</f>
        <v>0</v>
      </c>
      <c r="E261" s="4" t="str">
        <f>'Placements 26'!F260</f>
        <v>-</v>
      </c>
      <c r="F261" s="4" t="e">
        <f t="shared" ca="1" si="22"/>
        <v>#VALUE!</v>
      </c>
      <c r="G261" s="4"/>
      <c r="H261" s="4"/>
      <c r="J261">
        <f>IF(Table3[[#This Row],[Placement Fee &amp; Variables]]&gt;0,0,1)</f>
        <v>1</v>
      </c>
      <c r="K261" s="4" t="e">
        <f>Table3[[#This Row],[Joining Date]]+180</f>
        <v>#VALUE!</v>
      </c>
      <c r="L261" t="e">
        <f t="shared" ca="1" si="23"/>
        <v>#VALUE!</v>
      </c>
      <c r="N261" t="e">
        <f ca="1">IF(Table3[[#This Row],[6M Stat]]="Claimable",1,0)</f>
        <v>#VALUE!</v>
      </c>
      <c r="O261" s="4" t="e">
        <f>Table3[[#This Row],[Joining Date]]+365</f>
        <v>#VALUE!</v>
      </c>
      <c r="Q261" t="e">
        <f t="shared" ca="1" si="24"/>
        <v>#VALUE!</v>
      </c>
      <c r="R261" t="e">
        <f ca="1">IF(Table3[[#This Row],[12 M Stat]]="Claimable",1,0)</f>
        <v>#VALUE!</v>
      </c>
      <c r="S261" t="e">
        <f ca="1">Table3[[#This Row],[Placement claim Highlight]]+Table3[[#This Row],[Highlight rule 6M]]+Table3[[#This Row],[Highlight rule 12 M]]</f>
        <v>#VALUE!</v>
      </c>
      <c r="T261" s="6">
        <f>SUM(Table3[[#This Row],[Placement Fee]:[Salary]])</f>
        <v>0</v>
      </c>
      <c r="U261" s="6"/>
      <c r="V261" s="6">
        <f>IF(Table1[[#This Row],[MoL]]="Yes",55,0)</f>
        <v>0</v>
      </c>
      <c r="W261" s="6">
        <f>IF(Table1[[#This Row],[Long MoL +3 Years]]="Yes",137.5,0)</f>
        <v>0</v>
      </c>
      <c r="X261" s="6">
        <f>IF(Table1[[#This Row],[Gender]]="Female",137.5,0)</f>
        <v>0</v>
      </c>
      <c r="Y261" s="6">
        <f>IF(Table1[[#This Row],[Education]]="Bachelors +",55,0)</f>
        <v>0</v>
      </c>
      <c r="Z261" s="6">
        <f>IF(Table1[[#This Row],[Salary]]&gt;=600,82.5,0)</f>
        <v>0</v>
      </c>
    </row>
    <row r="262" spans="1:26">
      <c r="A262" s="3">
        <f>Table1[[#This Row],[SL No.]]</f>
        <v>261</v>
      </c>
      <c r="B262">
        <f>Table1[[#This Row],[Case manager]]</f>
        <v>0</v>
      </c>
      <c r="C262">
        <f>Table1[[#This Row],[Ref No]]</f>
        <v>0</v>
      </c>
      <c r="D262">
        <f>Table1[[#This Row],[Name]]</f>
        <v>0</v>
      </c>
      <c r="E262" s="4" t="str">
        <f>'Placements 26'!F261</f>
        <v>-</v>
      </c>
      <c r="F262" s="4" t="e">
        <f t="shared" ca="1" si="22"/>
        <v>#VALUE!</v>
      </c>
      <c r="G262" s="4"/>
      <c r="H262" s="4"/>
      <c r="J262">
        <f>IF(Table3[[#This Row],[Placement Fee &amp; Variables]]&gt;0,0,1)</f>
        <v>1</v>
      </c>
      <c r="K262" s="4" t="e">
        <f>Table3[[#This Row],[Joining Date]]+180</f>
        <v>#VALUE!</v>
      </c>
      <c r="L262" t="e">
        <f t="shared" ca="1" si="23"/>
        <v>#VALUE!</v>
      </c>
      <c r="N262" t="e">
        <f ca="1">IF(Table3[[#This Row],[6M Stat]]="Claimable",1,0)</f>
        <v>#VALUE!</v>
      </c>
      <c r="O262" s="4" t="e">
        <f>Table3[[#This Row],[Joining Date]]+365</f>
        <v>#VALUE!</v>
      </c>
      <c r="Q262" t="e">
        <f t="shared" ca="1" si="24"/>
        <v>#VALUE!</v>
      </c>
      <c r="R262" t="e">
        <f ca="1">IF(Table3[[#This Row],[12 M Stat]]="Claimable",1,0)</f>
        <v>#VALUE!</v>
      </c>
      <c r="S262" t="e">
        <f ca="1">Table3[[#This Row],[Placement claim Highlight]]+Table3[[#This Row],[Highlight rule 6M]]+Table3[[#This Row],[Highlight rule 12 M]]</f>
        <v>#VALUE!</v>
      </c>
      <c r="T262" s="6">
        <f>SUM(Table3[[#This Row],[Placement Fee]:[Salary]])</f>
        <v>0</v>
      </c>
      <c r="U262" s="6"/>
      <c r="V262" s="6">
        <f>IF(Table1[[#This Row],[MoL]]="Yes",55,0)</f>
        <v>0</v>
      </c>
      <c r="W262" s="6">
        <f>IF(Table1[[#This Row],[Long MoL +3 Years]]="Yes",137.5,0)</f>
        <v>0</v>
      </c>
      <c r="X262" s="6">
        <f>IF(Table1[[#This Row],[Gender]]="Female",137.5,0)</f>
        <v>0</v>
      </c>
      <c r="Y262" s="6">
        <f>IF(Table1[[#This Row],[Education]]="Bachelors +",55,0)</f>
        <v>0</v>
      </c>
      <c r="Z262" s="6">
        <f>IF(Table1[[#This Row],[Salary]]&gt;=600,82.5,0)</f>
        <v>0</v>
      </c>
    </row>
    <row r="263" spans="1:26">
      <c r="A263" s="3">
        <f>Table1[[#This Row],[SL No.]]</f>
        <v>262</v>
      </c>
      <c r="B263">
        <f>Table1[[#This Row],[Case manager]]</f>
        <v>0</v>
      </c>
      <c r="C263">
        <f>Table1[[#This Row],[Ref No]]</f>
        <v>0</v>
      </c>
      <c r="D263">
        <f>Table1[[#This Row],[Name]]</f>
        <v>0</v>
      </c>
      <c r="E263" s="4" t="str">
        <f>'Placements 26'!F262</f>
        <v>-</v>
      </c>
      <c r="F263" s="4" t="e">
        <f t="shared" ca="1" si="22"/>
        <v>#VALUE!</v>
      </c>
      <c r="G263" s="4"/>
      <c r="H263" s="4"/>
      <c r="J263">
        <f>IF(Table3[[#This Row],[Placement Fee &amp; Variables]]&gt;0,0,1)</f>
        <v>1</v>
      </c>
      <c r="K263" s="4" t="e">
        <f>Table3[[#This Row],[Joining Date]]+180</f>
        <v>#VALUE!</v>
      </c>
      <c r="L263" t="e">
        <f t="shared" ca="1" si="23"/>
        <v>#VALUE!</v>
      </c>
      <c r="N263" t="e">
        <f ca="1">IF(Table3[[#This Row],[6M Stat]]="Claimable",1,0)</f>
        <v>#VALUE!</v>
      </c>
      <c r="O263" s="4" t="e">
        <f>Table3[[#This Row],[Joining Date]]+365</f>
        <v>#VALUE!</v>
      </c>
      <c r="Q263" t="e">
        <f t="shared" ca="1" si="24"/>
        <v>#VALUE!</v>
      </c>
      <c r="R263" t="e">
        <f ca="1">IF(Table3[[#This Row],[12 M Stat]]="Claimable",1,0)</f>
        <v>#VALUE!</v>
      </c>
      <c r="S263" t="e">
        <f ca="1">Table3[[#This Row],[Placement claim Highlight]]+Table3[[#This Row],[Highlight rule 6M]]+Table3[[#This Row],[Highlight rule 12 M]]</f>
        <v>#VALUE!</v>
      </c>
      <c r="T263" s="6">
        <f>SUM(Table3[[#This Row],[Placement Fee]:[Salary]])</f>
        <v>0</v>
      </c>
      <c r="U263" s="6"/>
      <c r="V263" s="6">
        <f>IF(Table1[[#This Row],[MoL]]="Yes",55,0)</f>
        <v>0</v>
      </c>
      <c r="W263" s="6">
        <f>IF(Table1[[#This Row],[Long MoL +3 Years]]="Yes",137.5,0)</f>
        <v>0</v>
      </c>
      <c r="X263" s="6">
        <f>IF(Table1[[#This Row],[Gender]]="Female",137.5,0)</f>
        <v>0</v>
      </c>
      <c r="Y263" s="6">
        <f>IF(Table1[[#This Row],[Education]]="Bachelors +",55,0)</f>
        <v>0</v>
      </c>
      <c r="Z263" s="6">
        <f>IF(Table1[[#This Row],[Salary]]&gt;=600,82.5,0)</f>
        <v>0</v>
      </c>
    </row>
    <row r="264" spans="1:26">
      <c r="A264" s="3">
        <f>Table1[[#This Row],[SL No.]]</f>
        <v>263</v>
      </c>
      <c r="B264">
        <f>Table1[[#This Row],[Case manager]]</f>
        <v>0</v>
      </c>
      <c r="C264">
        <f>Table1[[#This Row],[Ref No]]</f>
        <v>0</v>
      </c>
      <c r="D264">
        <f>Table1[[#This Row],[Name]]</f>
        <v>0</v>
      </c>
      <c r="E264" s="4" t="str">
        <f>'Placements 26'!F263</f>
        <v>-</v>
      </c>
      <c r="F264" s="4" t="e">
        <f t="shared" ca="1" si="22"/>
        <v>#VALUE!</v>
      </c>
      <c r="G264" s="4"/>
      <c r="H264" s="4"/>
      <c r="J264">
        <f>IF(Table3[[#This Row],[Placement Fee &amp; Variables]]&gt;0,0,1)</f>
        <v>1</v>
      </c>
      <c r="K264" s="4" t="e">
        <f>Table3[[#This Row],[Joining Date]]+180</f>
        <v>#VALUE!</v>
      </c>
      <c r="L264" t="e">
        <f t="shared" ca="1" si="23"/>
        <v>#VALUE!</v>
      </c>
      <c r="N264" t="e">
        <f ca="1">IF(Table3[[#This Row],[6M Stat]]="Claimable",1,0)</f>
        <v>#VALUE!</v>
      </c>
      <c r="O264" s="4" t="e">
        <f>Table3[[#This Row],[Joining Date]]+365</f>
        <v>#VALUE!</v>
      </c>
      <c r="Q264" t="e">
        <f t="shared" ca="1" si="24"/>
        <v>#VALUE!</v>
      </c>
      <c r="R264" t="e">
        <f ca="1">IF(Table3[[#This Row],[12 M Stat]]="Claimable",1,0)</f>
        <v>#VALUE!</v>
      </c>
      <c r="S264" t="e">
        <f ca="1">Table3[[#This Row],[Placement claim Highlight]]+Table3[[#This Row],[Highlight rule 6M]]+Table3[[#This Row],[Highlight rule 12 M]]</f>
        <v>#VALUE!</v>
      </c>
      <c r="T264" s="6">
        <f>SUM(Table3[[#This Row],[Placement Fee]:[Salary]])</f>
        <v>0</v>
      </c>
      <c r="U264" s="6"/>
      <c r="V264" s="6">
        <f>IF(Table1[[#This Row],[MoL]]="Yes",55,0)</f>
        <v>0</v>
      </c>
      <c r="W264" s="6">
        <f>IF(Table1[[#This Row],[Long MoL +3 Years]]="Yes",137.5,0)</f>
        <v>0</v>
      </c>
      <c r="X264" s="6">
        <f>IF(Table1[[#This Row],[Gender]]="Female",137.5,0)</f>
        <v>0</v>
      </c>
      <c r="Y264" s="6">
        <f>IF(Table1[[#This Row],[Education]]="Bachelors +",55,0)</f>
        <v>0</v>
      </c>
      <c r="Z264" s="6">
        <f>IF(Table1[[#This Row],[Salary]]&gt;=600,82.5,0)</f>
        <v>0</v>
      </c>
    </row>
    <row r="265" spans="1:26">
      <c r="A265" s="3">
        <f>Table1[[#This Row],[SL No.]]</f>
        <v>264</v>
      </c>
      <c r="B265">
        <f>Table1[[#This Row],[Case manager]]</f>
        <v>0</v>
      </c>
      <c r="C265">
        <f>Table1[[#This Row],[Ref No]]</f>
        <v>0</v>
      </c>
      <c r="D265">
        <f>Table1[[#This Row],[Name]]</f>
        <v>0</v>
      </c>
      <c r="E265" s="4" t="str">
        <f>'Placements 26'!F264</f>
        <v>-</v>
      </c>
      <c r="F265" s="4" t="e">
        <f t="shared" ca="1" si="22"/>
        <v>#VALUE!</v>
      </c>
      <c r="G265" s="4"/>
      <c r="H265" s="4"/>
      <c r="J265">
        <f>IF(Table3[[#This Row],[Placement Fee &amp; Variables]]&gt;0,0,1)</f>
        <v>1</v>
      </c>
      <c r="K265" s="4" t="e">
        <f>Table3[[#This Row],[Joining Date]]+180</f>
        <v>#VALUE!</v>
      </c>
      <c r="L265" t="e">
        <f t="shared" ca="1" si="23"/>
        <v>#VALUE!</v>
      </c>
      <c r="N265" t="e">
        <f ca="1">IF(Table3[[#This Row],[6M Stat]]="Claimable",1,0)</f>
        <v>#VALUE!</v>
      </c>
      <c r="O265" s="4" t="e">
        <f>Table3[[#This Row],[Joining Date]]+365</f>
        <v>#VALUE!</v>
      </c>
      <c r="Q265" t="e">
        <f t="shared" ca="1" si="24"/>
        <v>#VALUE!</v>
      </c>
      <c r="R265" t="e">
        <f ca="1">IF(Table3[[#This Row],[12 M Stat]]="Claimable",1,0)</f>
        <v>#VALUE!</v>
      </c>
      <c r="S265" t="e">
        <f ca="1">Table3[[#This Row],[Placement claim Highlight]]+Table3[[#This Row],[Highlight rule 6M]]+Table3[[#This Row],[Highlight rule 12 M]]</f>
        <v>#VALUE!</v>
      </c>
      <c r="T265" s="6">
        <f>SUM(Table3[[#This Row],[Placement Fee]:[Salary]])</f>
        <v>0</v>
      </c>
      <c r="U265" s="6"/>
      <c r="V265" s="6">
        <f>IF(Table1[[#This Row],[MoL]]="Yes",55,0)</f>
        <v>0</v>
      </c>
      <c r="W265" s="6">
        <f>IF(Table1[[#This Row],[Long MoL +3 Years]]="Yes",137.5,0)</f>
        <v>0</v>
      </c>
      <c r="X265" s="6">
        <f>IF(Table1[[#This Row],[Gender]]="Female",137.5,0)</f>
        <v>0</v>
      </c>
      <c r="Y265" s="6">
        <f>IF(Table1[[#This Row],[Education]]="Bachelors +",55,0)</f>
        <v>0</v>
      </c>
      <c r="Z265" s="6">
        <f>IF(Table1[[#This Row],[Salary]]&gt;=600,82.5,0)</f>
        <v>0</v>
      </c>
    </row>
    <row r="266" spans="1:26">
      <c r="A266" s="3">
        <f>Table1[[#This Row],[SL No.]]</f>
        <v>265</v>
      </c>
      <c r="B266">
        <f>Table1[[#This Row],[Case manager]]</f>
        <v>0</v>
      </c>
      <c r="C266">
        <f>Table1[[#This Row],[Ref No]]</f>
        <v>0</v>
      </c>
      <c r="D266">
        <f>Table1[[#This Row],[Name]]</f>
        <v>0</v>
      </c>
      <c r="E266" s="4" t="str">
        <f>'Placements 26'!F265</f>
        <v>-</v>
      </c>
      <c r="F266" s="4" t="e">
        <f t="shared" ca="1" si="22"/>
        <v>#VALUE!</v>
      </c>
      <c r="G266" s="4"/>
      <c r="H266" s="4"/>
      <c r="J266">
        <f>IF(Table3[[#This Row],[Placement Fee &amp; Variables]]&gt;0,0,1)</f>
        <v>1</v>
      </c>
      <c r="K266" s="4" t="e">
        <f>Table3[[#This Row],[Joining Date]]+180</f>
        <v>#VALUE!</v>
      </c>
      <c r="L266" t="e">
        <f t="shared" ca="1" si="23"/>
        <v>#VALUE!</v>
      </c>
      <c r="N266" t="e">
        <f ca="1">IF(Table3[[#This Row],[6M Stat]]="Claimable",1,0)</f>
        <v>#VALUE!</v>
      </c>
      <c r="O266" s="4" t="e">
        <f>Table3[[#This Row],[Joining Date]]+365</f>
        <v>#VALUE!</v>
      </c>
      <c r="Q266" t="e">
        <f t="shared" ca="1" si="24"/>
        <v>#VALUE!</v>
      </c>
      <c r="R266" t="e">
        <f ca="1">IF(Table3[[#This Row],[12 M Stat]]="Claimable",1,0)</f>
        <v>#VALUE!</v>
      </c>
      <c r="S266" t="e">
        <f ca="1">Table3[[#This Row],[Placement claim Highlight]]+Table3[[#This Row],[Highlight rule 6M]]+Table3[[#This Row],[Highlight rule 12 M]]</f>
        <v>#VALUE!</v>
      </c>
      <c r="T266" s="6">
        <f>SUM(Table3[[#This Row],[Placement Fee]:[Salary]])</f>
        <v>0</v>
      </c>
      <c r="U266" s="6"/>
      <c r="V266" s="6">
        <f>IF(Table1[[#This Row],[MoL]]="Yes",55,0)</f>
        <v>0</v>
      </c>
      <c r="W266" s="6">
        <f>IF(Table1[[#This Row],[Long MoL +3 Years]]="Yes",137.5,0)</f>
        <v>0</v>
      </c>
      <c r="X266" s="6">
        <f>IF(Table1[[#This Row],[Gender]]="Female",137.5,0)</f>
        <v>0</v>
      </c>
      <c r="Y266" s="6">
        <f>IF(Table1[[#This Row],[Education]]="Bachelors +",55,0)</f>
        <v>0</v>
      </c>
      <c r="Z266" s="6">
        <f>IF(Table1[[#This Row],[Salary]]&gt;=600,82.5,0)</f>
        <v>0</v>
      </c>
    </row>
    <row r="267" spans="1:26">
      <c r="A267" s="3">
        <f>Table1[[#This Row],[SL No.]]</f>
        <v>266</v>
      </c>
      <c r="B267">
        <f>Table1[[#This Row],[Case manager]]</f>
        <v>0</v>
      </c>
      <c r="C267">
        <f>Table1[[#This Row],[Ref No]]</f>
        <v>0</v>
      </c>
      <c r="D267">
        <f>Table1[[#This Row],[Name]]</f>
        <v>0</v>
      </c>
      <c r="E267" s="4" t="str">
        <f>'Placements 26'!F266</f>
        <v>-</v>
      </c>
      <c r="F267" s="4" t="e">
        <f t="shared" ca="1" si="22"/>
        <v>#VALUE!</v>
      </c>
      <c r="G267" s="4"/>
      <c r="H267" s="4"/>
      <c r="J267">
        <f>IF(Table3[[#This Row],[Placement Fee &amp; Variables]]&gt;0,0,1)</f>
        <v>1</v>
      </c>
      <c r="K267" s="4" t="e">
        <f>Table3[[#This Row],[Joining Date]]+180</f>
        <v>#VALUE!</v>
      </c>
      <c r="L267" t="e">
        <f t="shared" ca="1" si="23"/>
        <v>#VALUE!</v>
      </c>
      <c r="N267" t="e">
        <f ca="1">IF(Table3[[#This Row],[6M Stat]]="Claimable",1,0)</f>
        <v>#VALUE!</v>
      </c>
      <c r="O267" s="4" t="e">
        <f>Table3[[#This Row],[Joining Date]]+365</f>
        <v>#VALUE!</v>
      </c>
      <c r="Q267" t="e">
        <f t="shared" ca="1" si="24"/>
        <v>#VALUE!</v>
      </c>
      <c r="R267" t="e">
        <f ca="1">IF(Table3[[#This Row],[12 M Stat]]="Claimable",1,0)</f>
        <v>#VALUE!</v>
      </c>
      <c r="S267" t="e">
        <f ca="1">Table3[[#This Row],[Placement claim Highlight]]+Table3[[#This Row],[Highlight rule 6M]]+Table3[[#This Row],[Highlight rule 12 M]]</f>
        <v>#VALUE!</v>
      </c>
      <c r="T267" s="6">
        <f>SUM(Table3[[#This Row],[Placement Fee]:[Salary]])</f>
        <v>0</v>
      </c>
      <c r="U267" s="6"/>
      <c r="V267" s="6">
        <f>IF(Table1[[#This Row],[MoL]]="Yes",55,0)</f>
        <v>0</v>
      </c>
      <c r="W267" s="6">
        <f>IF(Table1[[#This Row],[Long MoL +3 Years]]="Yes",137.5,0)</f>
        <v>0</v>
      </c>
      <c r="X267" s="6">
        <f>IF(Table1[[#This Row],[Gender]]="Female",137.5,0)</f>
        <v>0</v>
      </c>
      <c r="Y267" s="6">
        <f>IF(Table1[[#This Row],[Education]]="Bachelors +",55,0)</f>
        <v>0</v>
      </c>
      <c r="Z267" s="6">
        <f>IF(Table1[[#This Row],[Salary]]&gt;=600,82.5,0)</f>
        <v>0</v>
      </c>
    </row>
    <row r="268" spans="1:26">
      <c r="A268" s="3">
        <f>Table1[[#This Row],[SL No.]]</f>
        <v>267</v>
      </c>
      <c r="B268">
        <f>Table1[[#This Row],[Case manager]]</f>
        <v>0</v>
      </c>
      <c r="C268">
        <f>Table1[[#This Row],[Ref No]]</f>
        <v>0</v>
      </c>
      <c r="D268">
        <f>Table1[[#This Row],[Name]]</f>
        <v>0</v>
      </c>
      <c r="E268" s="4" t="str">
        <f>'Placements 26'!F267</f>
        <v>-</v>
      </c>
      <c r="F268" s="4" t="e">
        <f t="shared" ca="1" si="22"/>
        <v>#VALUE!</v>
      </c>
      <c r="G268" s="4"/>
      <c r="H268" s="4"/>
      <c r="J268">
        <f>IF(Table3[[#This Row],[Placement Fee &amp; Variables]]&gt;0,0,1)</f>
        <v>1</v>
      </c>
      <c r="K268" s="4" t="e">
        <f>Table3[[#This Row],[Joining Date]]+180</f>
        <v>#VALUE!</v>
      </c>
      <c r="L268" t="e">
        <f t="shared" ca="1" si="23"/>
        <v>#VALUE!</v>
      </c>
      <c r="N268" t="e">
        <f ca="1">IF(Table3[[#This Row],[6M Stat]]="Claimable",1,0)</f>
        <v>#VALUE!</v>
      </c>
      <c r="O268" s="4" t="e">
        <f>Table3[[#This Row],[Joining Date]]+365</f>
        <v>#VALUE!</v>
      </c>
      <c r="Q268" t="e">
        <f t="shared" ca="1" si="24"/>
        <v>#VALUE!</v>
      </c>
      <c r="R268" t="e">
        <f ca="1">IF(Table3[[#This Row],[12 M Stat]]="Claimable",1,0)</f>
        <v>#VALUE!</v>
      </c>
      <c r="S268" t="e">
        <f ca="1">Table3[[#This Row],[Placement claim Highlight]]+Table3[[#This Row],[Highlight rule 6M]]+Table3[[#This Row],[Highlight rule 12 M]]</f>
        <v>#VALUE!</v>
      </c>
      <c r="T268" s="6">
        <f>SUM(Table3[[#This Row],[Placement Fee]:[Salary]])</f>
        <v>0</v>
      </c>
      <c r="U268" s="6"/>
      <c r="V268" s="6">
        <f>IF(Table1[[#This Row],[MoL]]="Yes",55,0)</f>
        <v>0</v>
      </c>
      <c r="W268" s="6">
        <f>IF(Table1[[#This Row],[Long MoL +3 Years]]="Yes",137.5,0)</f>
        <v>0</v>
      </c>
      <c r="X268" s="6">
        <f>IF(Table1[[#This Row],[Gender]]="Female",137.5,0)</f>
        <v>0</v>
      </c>
      <c r="Y268" s="6">
        <f>IF(Table1[[#This Row],[Education]]="Bachelors +",55,0)</f>
        <v>0</v>
      </c>
      <c r="Z268" s="6">
        <f>IF(Table1[[#This Row],[Salary]]&gt;=600,82.5,0)</f>
        <v>0</v>
      </c>
    </row>
    <row r="269" spans="1:26">
      <c r="A269" s="3">
        <f>Table1[[#This Row],[SL No.]]</f>
        <v>268</v>
      </c>
      <c r="B269">
        <f>Table1[[#This Row],[Case manager]]</f>
        <v>0</v>
      </c>
      <c r="C269">
        <f>Table1[[#This Row],[Ref No]]</f>
        <v>0</v>
      </c>
      <c r="D269">
        <f>Table1[[#This Row],[Name]]</f>
        <v>0</v>
      </c>
      <c r="E269" s="4" t="str">
        <f>'Placements 26'!F268</f>
        <v>-</v>
      </c>
      <c r="F269" s="4" t="e">
        <f t="shared" ca="1" si="22"/>
        <v>#VALUE!</v>
      </c>
      <c r="G269" s="4"/>
      <c r="H269" s="4"/>
      <c r="J269">
        <f>IF(Table3[[#This Row],[Placement Fee &amp; Variables]]&gt;0,0,1)</f>
        <v>1</v>
      </c>
      <c r="K269" s="4" t="e">
        <f>Table3[[#This Row],[Joining Date]]+180</f>
        <v>#VALUE!</v>
      </c>
      <c r="L269" t="e">
        <f t="shared" ca="1" si="23"/>
        <v>#VALUE!</v>
      </c>
      <c r="N269" t="e">
        <f ca="1">IF(Table3[[#This Row],[6M Stat]]="Claimable",1,0)</f>
        <v>#VALUE!</v>
      </c>
      <c r="O269" s="4" t="e">
        <f>Table3[[#This Row],[Joining Date]]+365</f>
        <v>#VALUE!</v>
      </c>
      <c r="Q269" t="e">
        <f t="shared" ca="1" si="24"/>
        <v>#VALUE!</v>
      </c>
      <c r="R269" t="e">
        <f ca="1">IF(Table3[[#This Row],[12 M Stat]]="Claimable",1,0)</f>
        <v>#VALUE!</v>
      </c>
      <c r="S269" t="e">
        <f ca="1">Table3[[#This Row],[Placement claim Highlight]]+Table3[[#This Row],[Highlight rule 6M]]+Table3[[#This Row],[Highlight rule 12 M]]</f>
        <v>#VALUE!</v>
      </c>
      <c r="T269" s="6">
        <f>SUM(Table3[[#This Row],[Placement Fee]:[Salary]])</f>
        <v>0</v>
      </c>
      <c r="U269" s="6"/>
      <c r="V269" s="6">
        <f>IF(Table1[[#This Row],[MoL]]="Yes",55,0)</f>
        <v>0</v>
      </c>
      <c r="W269" s="6">
        <f>IF(Table1[[#This Row],[Long MoL +3 Years]]="Yes",137.5,0)</f>
        <v>0</v>
      </c>
      <c r="X269" s="6">
        <f>IF(Table1[[#This Row],[Gender]]="Female",137.5,0)</f>
        <v>0</v>
      </c>
      <c r="Y269" s="6">
        <f>IF(Table1[[#This Row],[Education]]="Bachelors +",55,0)</f>
        <v>0</v>
      </c>
      <c r="Z269" s="6">
        <f>IF(Table1[[#This Row],[Salary]]&gt;=600,82.5,0)</f>
        <v>0</v>
      </c>
    </row>
    <row r="270" spans="1:26">
      <c r="A270" s="3">
        <f>Table1[[#This Row],[SL No.]]</f>
        <v>269</v>
      </c>
      <c r="B270">
        <f>Table1[[#This Row],[Case manager]]</f>
        <v>0</v>
      </c>
      <c r="C270">
        <f>Table1[[#This Row],[Ref No]]</f>
        <v>0</v>
      </c>
      <c r="D270">
        <f>Table1[[#This Row],[Name]]</f>
        <v>0</v>
      </c>
      <c r="E270" s="4" t="str">
        <f>'Placements 26'!F269</f>
        <v>-</v>
      </c>
      <c r="F270" s="4" t="e">
        <f t="shared" ca="1" si="22"/>
        <v>#VALUE!</v>
      </c>
      <c r="G270" s="4"/>
      <c r="H270" s="4"/>
      <c r="J270">
        <f>IF(Table3[[#This Row],[Placement Fee &amp; Variables]]&gt;0,0,1)</f>
        <v>1</v>
      </c>
      <c r="K270" s="4" t="e">
        <f>Table3[[#This Row],[Joining Date]]+180</f>
        <v>#VALUE!</v>
      </c>
      <c r="L270" t="e">
        <f t="shared" ca="1" si="23"/>
        <v>#VALUE!</v>
      </c>
      <c r="N270" t="e">
        <f ca="1">IF(Table3[[#This Row],[6M Stat]]="Claimable",1,0)</f>
        <v>#VALUE!</v>
      </c>
      <c r="O270" s="4" t="e">
        <f>Table3[[#This Row],[Joining Date]]+365</f>
        <v>#VALUE!</v>
      </c>
      <c r="Q270" t="e">
        <f t="shared" ca="1" si="24"/>
        <v>#VALUE!</v>
      </c>
      <c r="R270" t="e">
        <f ca="1">IF(Table3[[#This Row],[12 M Stat]]="Claimable",1,0)</f>
        <v>#VALUE!</v>
      </c>
      <c r="S270" t="e">
        <f ca="1">Table3[[#This Row],[Placement claim Highlight]]+Table3[[#This Row],[Highlight rule 6M]]+Table3[[#This Row],[Highlight rule 12 M]]</f>
        <v>#VALUE!</v>
      </c>
      <c r="T270" s="6">
        <f>SUM(Table3[[#This Row],[Placement Fee]:[Salary]])</f>
        <v>0</v>
      </c>
      <c r="U270" s="6"/>
      <c r="V270" s="6">
        <f>IF(Table1[[#This Row],[MoL]]="Yes",55,0)</f>
        <v>0</v>
      </c>
      <c r="W270" s="6">
        <f>IF(Table1[[#This Row],[Long MoL +3 Years]]="Yes",137.5,0)</f>
        <v>0</v>
      </c>
      <c r="X270" s="6">
        <f>IF(Table1[[#This Row],[Gender]]="Female",137.5,0)</f>
        <v>0</v>
      </c>
      <c r="Y270" s="6">
        <f>IF(Table1[[#This Row],[Education]]="Bachelors +",55,0)</f>
        <v>0</v>
      </c>
      <c r="Z270" s="6">
        <f>IF(Table1[[#This Row],[Salary]]&gt;=600,82.5,0)</f>
        <v>0</v>
      </c>
    </row>
    <row r="271" spans="1:26">
      <c r="A271" s="3">
        <f>Table1[[#This Row],[SL No.]]</f>
        <v>270</v>
      </c>
      <c r="B271">
        <f>Table1[[#This Row],[Case manager]]</f>
        <v>0</v>
      </c>
      <c r="C271">
        <f>Table1[[#This Row],[Ref No]]</f>
        <v>0</v>
      </c>
      <c r="D271">
        <f>Table1[[#This Row],[Name]]</f>
        <v>0</v>
      </c>
      <c r="E271" s="4" t="str">
        <f>'Placements 26'!F270</f>
        <v>-</v>
      </c>
      <c r="F271" s="4" t="e">
        <f t="shared" ref="F271:F334" ca="1" si="25">IF(S271&gt;=1,"Claimable","Claimed")</f>
        <v>#VALUE!</v>
      </c>
      <c r="G271" s="4"/>
      <c r="H271" s="4"/>
      <c r="J271">
        <f>IF(Table3[[#This Row],[Placement Fee &amp; Variables]]&gt;0,0,1)</f>
        <v>1</v>
      </c>
      <c r="K271" s="4" t="e">
        <f>Table3[[#This Row],[Joining Date]]+180</f>
        <v>#VALUE!</v>
      </c>
      <c r="L271" t="e">
        <f t="shared" ref="L271:L334" ca="1" si="26">IF(AND(M271="", K271&lt;=TODAY()), "Claimable", "")</f>
        <v>#VALUE!</v>
      </c>
      <c r="N271" t="e">
        <f ca="1">IF(Table3[[#This Row],[6M Stat]]="Claimable",1,0)</f>
        <v>#VALUE!</v>
      </c>
      <c r="O271" s="4" t="e">
        <f>Table3[[#This Row],[Joining Date]]+365</f>
        <v>#VALUE!</v>
      </c>
      <c r="Q271" t="e">
        <f t="shared" ca="1" si="24"/>
        <v>#VALUE!</v>
      </c>
      <c r="R271" t="e">
        <f ca="1">IF(Table3[[#This Row],[12 M Stat]]="Claimable",1,0)</f>
        <v>#VALUE!</v>
      </c>
      <c r="S271" t="e">
        <f ca="1">Table3[[#This Row],[Placement claim Highlight]]+Table3[[#This Row],[Highlight rule 6M]]+Table3[[#This Row],[Highlight rule 12 M]]</f>
        <v>#VALUE!</v>
      </c>
      <c r="T271" s="6">
        <f>SUM(Table3[[#This Row],[Placement Fee]:[Salary]])</f>
        <v>0</v>
      </c>
      <c r="U271" s="6"/>
      <c r="V271" s="6">
        <f>IF(Table1[[#This Row],[MoL]]="Yes",55,0)</f>
        <v>0</v>
      </c>
      <c r="W271" s="6">
        <f>IF(Table1[[#This Row],[Long MoL +3 Years]]="Yes",137.5,0)</f>
        <v>0</v>
      </c>
      <c r="X271" s="6">
        <f>IF(Table1[[#This Row],[Gender]]="Female",137.5,0)</f>
        <v>0</v>
      </c>
      <c r="Y271" s="6">
        <f>IF(Table1[[#This Row],[Education]]="Bachelors +",55,0)</f>
        <v>0</v>
      </c>
      <c r="Z271" s="6">
        <f>IF(Table1[[#This Row],[Salary]]&gt;=600,82.5,0)</f>
        <v>0</v>
      </c>
    </row>
    <row r="272" spans="1:26">
      <c r="A272" s="3">
        <f>Table1[[#This Row],[SL No.]]</f>
        <v>271</v>
      </c>
      <c r="B272">
        <f>Table1[[#This Row],[Case manager]]</f>
        <v>0</v>
      </c>
      <c r="C272">
        <f>Table1[[#This Row],[Ref No]]</f>
        <v>0</v>
      </c>
      <c r="D272">
        <f>Table1[[#This Row],[Name]]</f>
        <v>0</v>
      </c>
      <c r="E272" s="4" t="str">
        <f>'Placements 26'!F271</f>
        <v>-</v>
      </c>
      <c r="F272" s="4" t="e">
        <f t="shared" ca="1" si="25"/>
        <v>#VALUE!</v>
      </c>
      <c r="G272" s="4"/>
      <c r="H272" s="4"/>
      <c r="J272">
        <f>IF(Table3[[#This Row],[Placement Fee &amp; Variables]]&gt;0,0,1)</f>
        <v>1</v>
      </c>
      <c r="K272" s="4" t="e">
        <f>Table3[[#This Row],[Joining Date]]+180</f>
        <v>#VALUE!</v>
      </c>
      <c r="L272" t="e">
        <f t="shared" ca="1" si="26"/>
        <v>#VALUE!</v>
      </c>
      <c r="N272" t="e">
        <f ca="1">IF(Table3[[#This Row],[6M Stat]]="Claimable",1,0)</f>
        <v>#VALUE!</v>
      </c>
      <c r="O272" s="4" t="e">
        <f>Table3[[#This Row],[Joining Date]]+365</f>
        <v>#VALUE!</v>
      </c>
      <c r="Q272" t="e">
        <f t="shared" ca="1" si="24"/>
        <v>#VALUE!</v>
      </c>
      <c r="R272" t="e">
        <f ca="1">IF(Table3[[#This Row],[12 M Stat]]="Claimable",1,0)</f>
        <v>#VALUE!</v>
      </c>
      <c r="S272" t="e">
        <f ca="1">Table3[[#This Row],[Placement claim Highlight]]+Table3[[#This Row],[Highlight rule 6M]]+Table3[[#This Row],[Highlight rule 12 M]]</f>
        <v>#VALUE!</v>
      </c>
      <c r="T272" s="6">
        <f>SUM(Table3[[#This Row],[Placement Fee]:[Salary]])</f>
        <v>0</v>
      </c>
      <c r="U272" s="6"/>
      <c r="V272" s="6">
        <f>IF(Table1[[#This Row],[MoL]]="Yes",55,0)</f>
        <v>0</v>
      </c>
      <c r="W272" s="6">
        <f>IF(Table1[[#This Row],[Long MoL +3 Years]]="Yes",137.5,0)</f>
        <v>0</v>
      </c>
      <c r="X272" s="6">
        <f>IF(Table1[[#This Row],[Gender]]="Female",137.5,0)</f>
        <v>0</v>
      </c>
      <c r="Y272" s="6">
        <f>IF(Table1[[#This Row],[Education]]="Bachelors +",55,0)</f>
        <v>0</v>
      </c>
      <c r="Z272" s="6">
        <f>IF(Table1[[#This Row],[Salary]]&gt;=600,82.5,0)</f>
        <v>0</v>
      </c>
    </row>
    <row r="273" spans="1:26">
      <c r="A273" s="3">
        <f>Table1[[#This Row],[SL No.]]</f>
        <v>272</v>
      </c>
      <c r="B273">
        <f>Table1[[#This Row],[Case manager]]</f>
        <v>0</v>
      </c>
      <c r="C273">
        <f>Table1[[#This Row],[Ref No]]</f>
        <v>0</v>
      </c>
      <c r="D273">
        <f>Table1[[#This Row],[Name]]</f>
        <v>0</v>
      </c>
      <c r="E273" s="4" t="str">
        <f>'Placements 26'!F272</f>
        <v>-</v>
      </c>
      <c r="F273" s="4" t="e">
        <f t="shared" ca="1" si="25"/>
        <v>#VALUE!</v>
      </c>
      <c r="G273" s="4"/>
      <c r="H273" s="4"/>
      <c r="J273">
        <f>IF(Table3[[#This Row],[Placement Fee &amp; Variables]]&gt;0,0,1)</f>
        <v>1</v>
      </c>
      <c r="K273" s="4" t="e">
        <f>Table3[[#This Row],[Joining Date]]+180</f>
        <v>#VALUE!</v>
      </c>
      <c r="L273" t="e">
        <f t="shared" ca="1" si="26"/>
        <v>#VALUE!</v>
      </c>
      <c r="N273" t="e">
        <f ca="1">IF(Table3[[#This Row],[6M Stat]]="Claimable",1,0)</f>
        <v>#VALUE!</v>
      </c>
      <c r="O273" s="4" t="e">
        <f>Table3[[#This Row],[Joining Date]]+365</f>
        <v>#VALUE!</v>
      </c>
      <c r="Q273" t="e">
        <f t="shared" ca="1" si="24"/>
        <v>#VALUE!</v>
      </c>
      <c r="R273" t="e">
        <f ca="1">IF(Table3[[#This Row],[12 M Stat]]="Claimable",1,0)</f>
        <v>#VALUE!</v>
      </c>
      <c r="S273" t="e">
        <f ca="1">Table3[[#This Row],[Placement claim Highlight]]+Table3[[#This Row],[Highlight rule 6M]]+Table3[[#This Row],[Highlight rule 12 M]]</f>
        <v>#VALUE!</v>
      </c>
      <c r="T273" s="6">
        <f>SUM(Table3[[#This Row],[Placement Fee]:[Salary]])</f>
        <v>0</v>
      </c>
      <c r="U273" s="6"/>
      <c r="V273" s="6">
        <f>IF(Table1[[#This Row],[MoL]]="Yes",55,0)</f>
        <v>0</v>
      </c>
      <c r="W273" s="6">
        <f>IF(Table1[[#This Row],[Long MoL +3 Years]]="Yes",137.5,0)</f>
        <v>0</v>
      </c>
      <c r="X273" s="6">
        <f>IF(Table1[[#This Row],[Gender]]="Female",137.5,0)</f>
        <v>0</v>
      </c>
      <c r="Y273" s="6">
        <f>IF(Table1[[#This Row],[Education]]="Bachelors +",55,0)</f>
        <v>0</v>
      </c>
      <c r="Z273" s="6">
        <f>IF(Table1[[#This Row],[Salary]]&gt;=600,82.5,0)</f>
        <v>0</v>
      </c>
    </row>
    <row r="274" spans="1:26">
      <c r="A274" s="3">
        <f>Table1[[#This Row],[SL No.]]</f>
        <v>273</v>
      </c>
      <c r="B274">
        <f>Table1[[#This Row],[Case manager]]</f>
        <v>0</v>
      </c>
      <c r="C274">
        <f>Table1[[#This Row],[Ref No]]</f>
        <v>0</v>
      </c>
      <c r="D274">
        <f>Table1[[#This Row],[Name]]</f>
        <v>0</v>
      </c>
      <c r="E274" s="4" t="str">
        <f>'Placements 26'!F273</f>
        <v>-</v>
      </c>
      <c r="F274" s="4" t="e">
        <f t="shared" ca="1" si="25"/>
        <v>#VALUE!</v>
      </c>
      <c r="G274" s="4"/>
      <c r="H274" s="4"/>
      <c r="J274">
        <f>IF(Table3[[#This Row],[Placement Fee &amp; Variables]]&gt;0,0,1)</f>
        <v>1</v>
      </c>
      <c r="K274" s="4" t="e">
        <f>Table3[[#This Row],[Joining Date]]+180</f>
        <v>#VALUE!</v>
      </c>
      <c r="L274" t="e">
        <f t="shared" ca="1" si="26"/>
        <v>#VALUE!</v>
      </c>
      <c r="N274" t="e">
        <f ca="1">IF(Table3[[#This Row],[6M Stat]]="Claimable",1,0)</f>
        <v>#VALUE!</v>
      </c>
      <c r="O274" s="4" t="e">
        <f>Table3[[#This Row],[Joining Date]]+365</f>
        <v>#VALUE!</v>
      </c>
      <c r="Q274" t="e">
        <f t="shared" ca="1" si="24"/>
        <v>#VALUE!</v>
      </c>
      <c r="R274" t="e">
        <f ca="1">IF(Table3[[#This Row],[12 M Stat]]="Claimable",1,0)</f>
        <v>#VALUE!</v>
      </c>
      <c r="S274" t="e">
        <f ca="1">Table3[[#This Row],[Placement claim Highlight]]+Table3[[#This Row],[Highlight rule 6M]]+Table3[[#This Row],[Highlight rule 12 M]]</f>
        <v>#VALUE!</v>
      </c>
      <c r="T274" s="6">
        <f>SUM(Table3[[#This Row],[Placement Fee]:[Salary]])</f>
        <v>0</v>
      </c>
      <c r="U274" s="6"/>
      <c r="V274" s="6">
        <f>IF(Table1[[#This Row],[MoL]]="Yes",55,0)</f>
        <v>0</v>
      </c>
      <c r="W274" s="6">
        <f>IF(Table1[[#This Row],[Long MoL +3 Years]]="Yes",137.5,0)</f>
        <v>0</v>
      </c>
      <c r="X274" s="6">
        <f>IF(Table1[[#This Row],[Gender]]="Female",137.5,0)</f>
        <v>0</v>
      </c>
      <c r="Y274" s="6">
        <f>IF(Table1[[#This Row],[Education]]="Bachelors +",55,0)</f>
        <v>0</v>
      </c>
      <c r="Z274" s="6">
        <f>IF(Table1[[#This Row],[Salary]]&gt;=600,82.5,0)</f>
        <v>0</v>
      </c>
    </row>
    <row r="275" spans="1:26">
      <c r="A275" s="3">
        <f>Table1[[#This Row],[SL No.]]</f>
        <v>274</v>
      </c>
      <c r="B275">
        <f>Table1[[#This Row],[Case manager]]</f>
        <v>0</v>
      </c>
      <c r="C275">
        <f>Table1[[#This Row],[Ref No]]</f>
        <v>0</v>
      </c>
      <c r="D275">
        <f>Table1[[#This Row],[Name]]</f>
        <v>0</v>
      </c>
      <c r="E275" s="4" t="str">
        <f>'Placements 26'!F274</f>
        <v>-</v>
      </c>
      <c r="F275" s="4" t="e">
        <f t="shared" ca="1" si="25"/>
        <v>#VALUE!</v>
      </c>
      <c r="G275" s="4"/>
      <c r="H275" s="4"/>
      <c r="J275">
        <f>IF(Table3[[#This Row],[Placement Fee &amp; Variables]]&gt;0,0,1)</f>
        <v>1</v>
      </c>
      <c r="K275" s="4" t="e">
        <f>Table3[[#This Row],[Joining Date]]+180</f>
        <v>#VALUE!</v>
      </c>
      <c r="L275" t="e">
        <f t="shared" ca="1" si="26"/>
        <v>#VALUE!</v>
      </c>
      <c r="N275" t="e">
        <f ca="1">IF(Table3[[#This Row],[6M Stat]]="Claimable",1,0)</f>
        <v>#VALUE!</v>
      </c>
      <c r="O275" s="4" t="e">
        <f>Table3[[#This Row],[Joining Date]]+365</f>
        <v>#VALUE!</v>
      </c>
      <c r="Q275" t="e">
        <f t="shared" ca="1" si="24"/>
        <v>#VALUE!</v>
      </c>
      <c r="R275" t="e">
        <f ca="1">IF(Table3[[#This Row],[12 M Stat]]="Claimable",1,0)</f>
        <v>#VALUE!</v>
      </c>
      <c r="S275" t="e">
        <f ca="1">Table3[[#This Row],[Placement claim Highlight]]+Table3[[#This Row],[Highlight rule 6M]]+Table3[[#This Row],[Highlight rule 12 M]]</f>
        <v>#VALUE!</v>
      </c>
      <c r="T275" s="6">
        <f>SUM(Table3[[#This Row],[Placement Fee]:[Salary]])</f>
        <v>0</v>
      </c>
      <c r="U275" s="6"/>
      <c r="V275" s="6">
        <f>IF(Table1[[#This Row],[MoL]]="Yes",55,0)</f>
        <v>0</v>
      </c>
      <c r="W275" s="6">
        <f>IF(Table1[[#This Row],[Long MoL +3 Years]]="Yes",137.5,0)</f>
        <v>0</v>
      </c>
      <c r="X275" s="6">
        <f>IF(Table1[[#This Row],[Gender]]="Female",137.5,0)</f>
        <v>0</v>
      </c>
      <c r="Y275" s="6">
        <f>IF(Table1[[#This Row],[Education]]="Bachelors +",55,0)</f>
        <v>0</v>
      </c>
      <c r="Z275" s="6">
        <f>IF(Table1[[#This Row],[Salary]]&gt;=600,82.5,0)</f>
        <v>0</v>
      </c>
    </row>
    <row r="276" spans="1:26">
      <c r="A276" s="3">
        <f>Table1[[#This Row],[SL No.]]</f>
        <v>275</v>
      </c>
      <c r="B276">
        <f>Table1[[#This Row],[Case manager]]</f>
        <v>0</v>
      </c>
      <c r="C276">
        <f>Table1[[#This Row],[Ref No]]</f>
        <v>0</v>
      </c>
      <c r="D276">
        <f>Table1[[#This Row],[Name]]</f>
        <v>0</v>
      </c>
      <c r="E276" s="4" t="str">
        <f>'Placements 26'!F275</f>
        <v>-</v>
      </c>
      <c r="F276" s="4" t="e">
        <f t="shared" ca="1" si="25"/>
        <v>#VALUE!</v>
      </c>
      <c r="G276" s="4"/>
      <c r="H276" s="4"/>
      <c r="J276">
        <f>IF(Table3[[#This Row],[Placement Fee &amp; Variables]]&gt;0,0,1)</f>
        <v>1</v>
      </c>
      <c r="K276" s="4" t="e">
        <f>Table3[[#This Row],[Joining Date]]+180</f>
        <v>#VALUE!</v>
      </c>
      <c r="L276" t="e">
        <f t="shared" ca="1" si="26"/>
        <v>#VALUE!</v>
      </c>
      <c r="N276" t="e">
        <f ca="1">IF(Table3[[#This Row],[6M Stat]]="Claimable",1,0)</f>
        <v>#VALUE!</v>
      </c>
      <c r="O276" s="4" t="e">
        <f>Table3[[#This Row],[Joining Date]]+365</f>
        <v>#VALUE!</v>
      </c>
      <c r="Q276" t="e">
        <f t="shared" ca="1" si="24"/>
        <v>#VALUE!</v>
      </c>
      <c r="R276" t="e">
        <f ca="1">IF(Table3[[#This Row],[12 M Stat]]="Claimable",1,0)</f>
        <v>#VALUE!</v>
      </c>
      <c r="S276" t="e">
        <f ca="1">Table3[[#This Row],[Placement claim Highlight]]+Table3[[#This Row],[Highlight rule 6M]]+Table3[[#This Row],[Highlight rule 12 M]]</f>
        <v>#VALUE!</v>
      </c>
      <c r="T276" s="6">
        <f>SUM(Table3[[#This Row],[Placement Fee]:[Salary]])</f>
        <v>0</v>
      </c>
      <c r="U276" s="6"/>
      <c r="V276" s="6">
        <f>IF(Table1[[#This Row],[MoL]]="Yes",55,0)</f>
        <v>0</v>
      </c>
      <c r="W276" s="6">
        <f>IF(Table1[[#This Row],[Long MoL +3 Years]]="Yes",137.5,0)</f>
        <v>0</v>
      </c>
      <c r="X276" s="6">
        <f>IF(Table1[[#This Row],[Gender]]="Female",137.5,0)</f>
        <v>0</v>
      </c>
      <c r="Y276" s="6">
        <f>IF(Table1[[#This Row],[Education]]="Bachelors +",55,0)</f>
        <v>0</v>
      </c>
      <c r="Z276" s="6">
        <f>IF(Table1[[#This Row],[Salary]]&gt;=600,82.5,0)</f>
        <v>0</v>
      </c>
    </row>
    <row r="277" spans="1:26">
      <c r="A277" s="3">
        <f>Table1[[#This Row],[SL No.]]</f>
        <v>276</v>
      </c>
      <c r="B277">
        <f>Table1[[#This Row],[Case manager]]</f>
        <v>0</v>
      </c>
      <c r="C277">
        <f>Table1[[#This Row],[Ref No]]</f>
        <v>0</v>
      </c>
      <c r="D277">
        <f>Table1[[#This Row],[Name]]</f>
        <v>0</v>
      </c>
      <c r="E277" s="4" t="str">
        <f>'Placements 26'!F276</f>
        <v>-</v>
      </c>
      <c r="F277" s="4" t="e">
        <f t="shared" ca="1" si="25"/>
        <v>#VALUE!</v>
      </c>
      <c r="G277" s="4"/>
      <c r="H277" s="4"/>
      <c r="J277">
        <f>IF(Table3[[#This Row],[Placement Fee &amp; Variables]]&gt;0,0,1)</f>
        <v>1</v>
      </c>
      <c r="K277" s="4" t="e">
        <f>Table3[[#This Row],[Joining Date]]+180</f>
        <v>#VALUE!</v>
      </c>
      <c r="L277" t="e">
        <f t="shared" ca="1" si="26"/>
        <v>#VALUE!</v>
      </c>
      <c r="N277" t="e">
        <f ca="1">IF(Table3[[#This Row],[6M Stat]]="Claimable",1,0)</f>
        <v>#VALUE!</v>
      </c>
      <c r="O277" s="4" t="e">
        <f>Table3[[#This Row],[Joining Date]]+365</f>
        <v>#VALUE!</v>
      </c>
      <c r="Q277" t="e">
        <f t="shared" ca="1" si="24"/>
        <v>#VALUE!</v>
      </c>
      <c r="R277" t="e">
        <f ca="1">IF(Table3[[#This Row],[12 M Stat]]="Claimable",1,0)</f>
        <v>#VALUE!</v>
      </c>
      <c r="S277" t="e">
        <f ca="1">Table3[[#This Row],[Placement claim Highlight]]+Table3[[#This Row],[Highlight rule 6M]]+Table3[[#This Row],[Highlight rule 12 M]]</f>
        <v>#VALUE!</v>
      </c>
      <c r="T277" s="6">
        <f>SUM(Table3[[#This Row],[Placement Fee]:[Salary]])</f>
        <v>0</v>
      </c>
      <c r="U277" s="6"/>
      <c r="V277" s="6">
        <f>IF(Table1[[#This Row],[MoL]]="Yes",55,0)</f>
        <v>0</v>
      </c>
      <c r="W277" s="6">
        <f>IF(Table1[[#This Row],[Long MoL +3 Years]]="Yes",137.5,0)</f>
        <v>0</v>
      </c>
      <c r="X277" s="6">
        <f>IF(Table1[[#This Row],[Gender]]="Female",137.5,0)</f>
        <v>0</v>
      </c>
      <c r="Y277" s="6">
        <f>IF(Table1[[#This Row],[Education]]="Bachelors +",55,0)</f>
        <v>0</v>
      </c>
      <c r="Z277" s="6">
        <f>IF(Table1[[#This Row],[Salary]]&gt;=600,82.5,0)</f>
        <v>0</v>
      </c>
    </row>
    <row r="278" spans="1:26">
      <c r="A278" s="3">
        <f>Table1[[#This Row],[SL No.]]</f>
        <v>277</v>
      </c>
      <c r="B278">
        <f>Table1[[#This Row],[Case manager]]</f>
        <v>0</v>
      </c>
      <c r="C278">
        <f>Table1[[#This Row],[Ref No]]</f>
        <v>0</v>
      </c>
      <c r="D278">
        <f>Table1[[#This Row],[Name]]</f>
        <v>0</v>
      </c>
      <c r="E278" s="4" t="str">
        <f>'Placements 26'!F277</f>
        <v>-</v>
      </c>
      <c r="F278" s="4" t="e">
        <f t="shared" ca="1" si="25"/>
        <v>#VALUE!</v>
      </c>
      <c r="G278" s="4"/>
      <c r="H278" s="4"/>
      <c r="J278">
        <f>IF(Table3[[#This Row],[Placement Fee &amp; Variables]]&gt;0,0,1)</f>
        <v>1</v>
      </c>
      <c r="K278" s="4" t="e">
        <f>Table3[[#This Row],[Joining Date]]+180</f>
        <v>#VALUE!</v>
      </c>
      <c r="L278" t="e">
        <f t="shared" ca="1" si="26"/>
        <v>#VALUE!</v>
      </c>
      <c r="N278" t="e">
        <f ca="1">IF(Table3[[#This Row],[6M Stat]]="Claimable",1,0)</f>
        <v>#VALUE!</v>
      </c>
      <c r="O278" s="4" t="e">
        <f>Table3[[#This Row],[Joining Date]]+365</f>
        <v>#VALUE!</v>
      </c>
      <c r="Q278" t="e">
        <f t="shared" ca="1" si="24"/>
        <v>#VALUE!</v>
      </c>
      <c r="R278" t="e">
        <f ca="1">IF(Table3[[#This Row],[12 M Stat]]="Claimable",1,0)</f>
        <v>#VALUE!</v>
      </c>
      <c r="S278" t="e">
        <f ca="1">Table3[[#This Row],[Placement claim Highlight]]+Table3[[#This Row],[Highlight rule 6M]]+Table3[[#This Row],[Highlight rule 12 M]]</f>
        <v>#VALUE!</v>
      </c>
      <c r="T278" s="6">
        <f>SUM(Table3[[#This Row],[Placement Fee]:[Salary]])</f>
        <v>0</v>
      </c>
      <c r="U278" s="6"/>
      <c r="V278" s="6">
        <f>IF(Table1[[#This Row],[MoL]]="Yes",55,0)</f>
        <v>0</v>
      </c>
      <c r="W278" s="6">
        <f>IF(Table1[[#This Row],[Long MoL +3 Years]]="Yes",137.5,0)</f>
        <v>0</v>
      </c>
      <c r="X278" s="6">
        <f>IF(Table1[[#This Row],[Gender]]="Female",137.5,0)</f>
        <v>0</v>
      </c>
      <c r="Y278" s="6">
        <f>IF(Table1[[#This Row],[Education]]="Bachelors +",55,0)</f>
        <v>0</v>
      </c>
      <c r="Z278" s="6">
        <f>IF(Table1[[#This Row],[Salary]]&gt;=600,82.5,0)</f>
        <v>0</v>
      </c>
    </row>
    <row r="279" spans="1:26">
      <c r="A279" s="3">
        <f>Table1[[#This Row],[SL No.]]</f>
        <v>278</v>
      </c>
      <c r="B279">
        <f>Table1[[#This Row],[Case manager]]</f>
        <v>0</v>
      </c>
      <c r="C279">
        <f>Table1[[#This Row],[Ref No]]</f>
        <v>0</v>
      </c>
      <c r="D279">
        <f>Table1[[#This Row],[Name]]</f>
        <v>0</v>
      </c>
      <c r="E279" s="4" t="str">
        <f>'Placements 26'!F278</f>
        <v>-</v>
      </c>
      <c r="F279" s="4" t="e">
        <f t="shared" ca="1" si="25"/>
        <v>#VALUE!</v>
      </c>
      <c r="G279" s="4"/>
      <c r="H279" s="4"/>
      <c r="J279">
        <f>IF(Table3[[#This Row],[Placement Fee &amp; Variables]]&gt;0,0,1)</f>
        <v>1</v>
      </c>
      <c r="K279" s="4" t="e">
        <f>Table3[[#This Row],[Joining Date]]+180</f>
        <v>#VALUE!</v>
      </c>
      <c r="L279" t="e">
        <f t="shared" ca="1" si="26"/>
        <v>#VALUE!</v>
      </c>
      <c r="N279" t="e">
        <f ca="1">IF(Table3[[#This Row],[6M Stat]]="Claimable",1,0)</f>
        <v>#VALUE!</v>
      </c>
      <c r="O279" s="4" t="e">
        <f>Table3[[#This Row],[Joining Date]]+365</f>
        <v>#VALUE!</v>
      </c>
      <c r="Q279" t="e">
        <f t="shared" ca="1" si="24"/>
        <v>#VALUE!</v>
      </c>
      <c r="R279" t="e">
        <f ca="1">IF(Table3[[#This Row],[12 M Stat]]="Claimable",1,0)</f>
        <v>#VALUE!</v>
      </c>
      <c r="S279" t="e">
        <f ca="1">Table3[[#This Row],[Placement claim Highlight]]+Table3[[#This Row],[Highlight rule 6M]]+Table3[[#This Row],[Highlight rule 12 M]]</f>
        <v>#VALUE!</v>
      </c>
      <c r="T279" s="6">
        <f>SUM(Table3[[#This Row],[Placement Fee]:[Salary]])</f>
        <v>0</v>
      </c>
      <c r="U279" s="6"/>
      <c r="V279" s="6">
        <f>IF(Table1[[#This Row],[MoL]]="Yes",55,0)</f>
        <v>0</v>
      </c>
      <c r="W279" s="6">
        <f>IF(Table1[[#This Row],[Long MoL +3 Years]]="Yes",137.5,0)</f>
        <v>0</v>
      </c>
      <c r="X279" s="6">
        <f>IF(Table1[[#This Row],[Gender]]="Female",137.5,0)</f>
        <v>0</v>
      </c>
      <c r="Y279" s="6">
        <f>IF(Table1[[#This Row],[Education]]="Bachelors +",55,0)</f>
        <v>0</v>
      </c>
      <c r="Z279" s="6">
        <f>IF(Table1[[#This Row],[Salary]]&gt;=600,82.5,0)</f>
        <v>0</v>
      </c>
    </row>
    <row r="280" spans="1:26">
      <c r="A280" s="3">
        <f>Table1[[#This Row],[SL No.]]</f>
        <v>279</v>
      </c>
      <c r="B280">
        <f>Table1[[#This Row],[Case manager]]</f>
        <v>0</v>
      </c>
      <c r="C280">
        <f>Table1[[#This Row],[Ref No]]</f>
        <v>0</v>
      </c>
      <c r="D280">
        <f>Table1[[#This Row],[Name]]</f>
        <v>0</v>
      </c>
      <c r="E280" s="4" t="str">
        <f>'Placements 26'!F279</f>
        <v>-</v>
      </c>
      <c r="F280" s="4" t="e">
        <f t="shared" ca="1" si="25"/>
        <v>#VALUE!</v>
      </c>
      <c r="G280" s="4"/>
      <c r="H280" s="4"/>
      <c r="J280">
        <f>IF(Table3[[#This Row],[Placement Fee &amp; Variables]]&gt;0,0,1)</f>
        <v>1</v>
      </c>
      <c r="K280" s="4" t="e">
        <f>Table3[[#This Row],[Joining Date]]+180</f>
        <v>#VALUE!</v>
      </c>
      <c r="L280" t="e">
        <f t="shared" ca="1" si="26"/>
        <v>#VALUE!</v>
      </c>
      <c r="N280" t="e">
        <f ca="1">IF(Table3[[#This Row],[6M Stat]]="Claimable",1,0)</f>
        <v>#VALUE!</v>
      </c>
      <c r="O280" s="4" t="e">
        <f>Table3[[#This Row],[Joining Date]]+365</f>
        <v>#VALUE!</v>
      </c>
      <c r="Q280" t="e">
        <f t="shared" ca="1" si="24"/>
        <v>#VALUE!</v>
      </c>
      <c r="R280" t="e">
        <f ca="1">IF(Table3[[#This Row],[12 M Stat]]="Claimable",1,0)</f>
        <v>#VALUE!</v>
      </c>
      <c r="S280" t="e">
        <f ca="1">Table3[[#This Row],[Placement claim Highlight]]+Table3[[#This Row],[Highlight rule 6M]]+Table3[[#This Row],[Highlight rule 12 M]]</f>
        <v>#VALUE!</v>
      </c>
      <c r="T280" s="6">
        <f>SUM(Table3[[#This Row],[Placement Fee]:[Salary]])</f>
        <v>0</v>
      </c>
      <c r="U280" s="6"/>
      <c r="V280" s="6">
        <f>IF(Table1[[#This Row],[MoL]]="Yes",55,0)</f>
        <v>0</v>
      </c>
      <c r="W280" s="6">
        <f>IF(Table1[[#This Row],[Long MoL +3 Years]]="Yes",137.5,0)</f>
        <v>0</v>
      </c>
      <c r="X280" s="6">
        <f>IF(Table1[[#This Row],[Gender]]="Female",137.5,0)</f>
        <v>0</v>
      </c>
      <c r="Y280" s="6">
        <f>IF(Table1[[#This Row],[Education]]="Bachelors +",55,0)</f>
        <v>0</v>
      </c>
      <c r="Z280" s="6">
        <f>IF(Table1[[#This Row],[Salary]]&gt;=600,82.5,0)</f>
        <v>0</v>
      </c>
    </row>
    <row r="281" spans="1:26">
      <c r="A281" s="3">
        <f>Table1[[#This Row],[SL No.]]</f>
        <v>280</v>
      </c>
      <c r="B281">
        <f>Table1[[#This Row],[Case manager]]</f>
        <v>0</v>
      </c>
      <c r="C281">
        <f>Table1[[#This Row],[Ref No]]</f>
        <v>0</v>
      </c>
      <c r="D281">
        <f>Table1[[#This Row],[Name]]</f>
        <v>0</v>
      </c>
      <c r="E281" s="4" t="str">
        <f>'Placements 26'!F280</f>
        <v>-</v>
      </c>
      <c r="F281" s="4" t="e">
        <f t="shared" ca="1" si="25"/>
        <v>#VALUE!</v>
      </c>
      <c r="G281" s="4"/>
      <c r="H281" s="4"/>
      <c r="J281">
        <f>IF(Table3[[#This Row],[Placement Fee &amp; Variables]]&gt;0,0,1)</f>
        <v>1</v>
      </c>
      <c r="K281" s="4" t="e">
        <f>Table3[[#This Row],[Joining Date]]+180</f>
        <v>#VALUE!</v>
      </c>
      <c r="L281" t="e">
        <f t="shared" ca="1" si="26"/>
        <v>#VALUE!</v>
      </c>
      <c r="N281" t="e">
        <f ca="1">IF(Table3[[#This Row],[6M Stat]]="Claimable",1,0)</f>
        <v>#VALUE!</v>
      </c>
      <c r="O281" s="4" t="e">
        <f>Table3[[#This Row],[Joining Date]]+365</f>
        <v>#VALUE!</v>
      </c>
      <c r="Q281" t="e">
        <f t="shared" ca="1" si="24"/>
        <v>#VALUE!</v>
      </c>
      <c r="R281" t="e">
        <f ca="1">IF(Table3[[#This Row],[12 M Stat]]="Claimable",1,0)</f>
        <v>#VALUE!</v>
      </c>
      <c r="S281" t="e">
        <f ca="1">Table3[[#This Row],[Placement claim Highlight]]+Table3[[#This Row],[Highlight rule 6M]]+Table3[[#This Row],[Highlight rule 12 M]]</f>
        <v>#VALUE!</v>
      </c>
      <c r="T281" s="6">
        <f>SUM(Table3[[#This Row],[Placement Fee]:[Salary]])</f>
        <v>0</v>
      </c>
      <c r="U281" s="6"/>
      <c r="V281" s="6">
        <f>IF(Table1[[#This Row],[MoL]]="Yes",55,0)</f>
        <v>0</v>
      </c>
      <c r="W281" s="6">
        <f>IF(Table1[[#This Row],[Long MoL +3 Years]]="Yes",137.5,0)</f>
        <v>0</v>
      </c>
      <c r="X281" s="6">
        <f>IF(Table1[[#This Row],[Gender]]="Female",137.5,0)</f>
        <v>0</v>
      </c>
      <c r="Y281" s="6">
        <f>IF(Table1[[#This Row],[Education]]="Bachelors +",55,0)</f>
        <v>0</v>
      </c>
      <c r="Z281" s="6">
        <f>IF(Table1[[#This Row],[Salary]]&gt;=600,82.5,0)</f>
        <v>0</v>
      </c>
    </row>
    <row r="282" spans="1:26">
      <c r="A282" s="3">
        <f>Table1[[#This Row],[SL No.]]</f>
        <v>281</v>
      </c>
      <c r="B282">
        <f>Table1[[#This Row],[Case manager]]</f>
        <v>0</v>
      </c>
      <c r="C282">
        <f>Table1[[#This Row],[Ref No]]</f>
        <v>0</v>
      </c>
      <c r="D282">
        <f>Table1[[#This Row],[Name]]</f>
        <v>0</v>
      </c>
      <c r="E282" s="4" t="str">
        <f>'Placements 26'!F281</f>
        <v>-</v>
      </c>
      <c r="F282" s="4" t="e">
        <f t="shared" ca="1" si="25"/>
        <v>#VALUE!</v>
      </c>
      <c r="G282" s="4"/>
      <c r="H282" s="4"/>
      <c r="J282">
        <f>IF(Table3[[#This Row],[Placement Fee &amp; Variables]]&gt;0,0,1)</f>
        <v>1</v>
      </c>
      <c r="K282" s="4" t="e">
        <f>Table3[[#This Row],[Joining Date]]+180</f>
        <v>#VALUE!</v>
      </c>
      <c r="L282" t="e">
        <f t="shared" ca="1" si="26"/>
        <v>#VALUE!</v>
      </c>
      <c r="N282" t="e">
        <f ca="1">IF(Table3[[#This Row],[6M Stat]]="Claimable",1,0)</f>
        <v>#VALUE!</v>
      </c>
      <c r="O282" s="4" t="e">
        <f>Table3[[#This Row],[Joining Date]]+365</f>
        <v>#VALUE!</v>
      </c>
      <c r="Q282" t="e">
        <f t="shared" ca="1" si="24"/>
        <v>#VALUE!</v>
      </c>
      <c r="R282" t="e">
        <f ca="1">IF(Table3[[#This Row],[12 M Stat]]="Claimable",1,0)</f>
        <v>#VALUE!</v>
      </c>
      <c r="S282" t="e">
        <f ca="1">Table3[[#This Row],[Placement claim Highlight]]+Table3[[#This Row],[Highlight rule 6M]]+Table3[[#This Row],[Highlight rule 12 M]]</f>
        <v>#VALUE!</v>
      </c>
      <c r="T282" s="6">
        <f>SUM(Table3[[#This Row],[Placement Fee]:[Salary]])</f>
        <v>0</v>
      </c>
      <c r="U282" s="6"/>
      <c r="V282" s="6">
        <f>IF(Table1[[#This Row],[MoL]]="Yes",55,0)</f>
        <v>0</v>
      </c>
      <c r="W282" s="6">
        <f>IF(Table1[[#This Row],[Long MoL +3 Years]]="Yes",137.5,0)</f>
        <v>0</v>
      </c>
      <c r="X282" s="6">
        <f>IF(Table1[[#This Row],[Gender]]="Female",137.5,0)</f>
        <v>0</v>
      </c>
      <c r="Y282" s="6">
        <f>IF(Table1[[#This Row],[Education]]="Bachelors +",55,0)</f>
        <v>0</v>
      </c>
      <c r="Z282" s="6">
        <f>IF(Table1[[#This Row],[Salary]]&gt;=600,82.5,0)</f>
        <v>0</v>
      </c>
    </row>
    <row r="283" spans="1:26">
      <c r="A283" s="3">
        <f>Table1[[#This Row],[SL No.]]</f>
        <v>282</v>
      </c>
      <c r="B283">
        <f>Table1[[#This Row],[Case manager]]</f>
        <v>0</v>
      </c>
      <c r="C283">
        <f>Table1[[#This Row],[Ref No]]</f>
        <v>0</v>
      </c>
      <c r="D283">
        <f>Table1[[#This Row],[Name]]</f>
        <v>0</v>
      </c>
      <c r="E283" s="4" t="str">
        <f>'Placements 26'!F282</f>
        <v>-</v>
      </c>
      <c r="F283" s="4" t="e">
        <f t="shared" ca="1" si="25"/>
        <v>#VALUE!</v>
      </c>
      <c r="G283" s="4"/>
      <c r="H283" s="4"/>
      <c r="J283">
        <f>IF(Table3[[#This Row],[Placement Fee &amp; Variables]]&gt;0,0,1)</f>
        <v>1</v>
      </c>
      <c r="K283" s="4" t="e">
        <f>Table3[[#This Row],[Joining Date]]+180</f>
        <v>#VALUE!</v>
      </c>
      <c r="L283" t="e">
        <f t="shared" ca="1" si="26"/>
        <v>#VALUE!</v>
      </c>
      <c r="N283" t="e">
        <f ca="1">IF(Table3[[#This Row],[6M Stat]]="Claimable",1,0)</f>
        <v>#VALUE!</v>
      </c>
      <c r="O283" s="4" t="e">
        <f>Table3[[#This Row],[Joining Date]]+365</f>
        <v>#VALUE!</v>
      </c>
      <c r="Q283" t="e">
        <f t="shared" ca="1" si="24"/>
        <v>#VALUE!</v>
      </c>
      <c r="R283" t="e">
        <f ca="1">IF(Table3[[#This Row],[12 M Stat]]="Claimable",1,0)</f>
        <v>#VALUE!</v>
      </c>
      <c r="S283" t="e">
        <f ca="1">Table3[[#This Row],[Placement claim Highlight]]+Table3[[#This Row],[Highlight rule 6M]]+Table3[[#This Row],[Highlight rule 12 M]]</f>
        <v>#VALUE!</v>
      </c>
      <c r="T283" s="6">
        <f>SUM(Table3[[#This Row],[Placement Fee]:[Salary]])</f>
        <v>0</v>
      </c>
      <c r="U283" s="6"/>
      <c r="V283" s="6">
        <f>IF(Table1[[#This Row],[MoL]]="Yes",55,0)</f>
        <v>0</v>
      </c>
      <c r="W283" s="6">
        <f>IF(Table1[[#This Row],[Long MoL +3 Years]]="Yes",137.5,0)</f>
        <v>0</v>
      </c>
      <c r="X283" s="6">
        <f>IF(Table1[[#This Row],[Gender]]="Female",137.5,0)</f>
        <v>0</v>
      </c>
      <c r="Y283" s="6">
        <f>IF(Table1[[#This Row],[Education]]="Bachelors +",55,0)</f>
        <v>0</v>
      </c>
      <c r="Z283" s="6">
        <f>IF(Table1[[#This Row],[Salary]]&gt;=600,82.5,0)</f>
        <v>0</v>
      </c>
    </row>
    <row r="284" spans="1:26">
      <c r="A284" s="3">
        <f>Table1[[#This Row],[SL No.]]</f>
        <v>283</v>
      </c>
      <c r="B284">
        <f>Table1[[#This Row],[Case manager]]</f>
        <v>0</v>
      </c>
      <c r="C284">
        <f>Table1[[#This Row],[Ref No]]</f>
        <v>0</v>
      </c>
      <c r="D284">
        <f>Table1[[#This Row],[Name]]</f>
        <v>0</v>
      </c>
      <c r="E284" s="4" t="str">
        <f>'Placements 26'!F283</f>
        <v>-</v>
      </c>
      <c r="F284" s="4" t="e">
        <f t="shared" ca="1" si="25"/>
        <v>#VALUE!</v>
      </c>
      <c r="G284" s="4"/>
      <c r="H284" s="4"/>
      <c r="J284">
        <f>IF(Table3[[#This Row],[Placement Fee &amp; Variables]]&gt;0,0,1)</f>
        <v>1</v>
      </c>
      <c r="K284" s="4" t="e">
        <f>Table3[[#This Row],[Joining Date]]+180</f>
        <v>#VALUE!</v>
      </c>
      <c r="L284" t="e">
        <f t="shared" ca="1" si="26"/>
        <v>#VALUE!</v>
      </c>
      <c r="N284" t="e">
        <f ca="1">IF(Table3[[#This Row],[6M Stat]]="Claimable",1,0)</f>
        <v>#VALUE!</v>
      </c>
      <c r="O284" s="4" t="e">
        <f>Table3[[#This Row],[Joining Date]]+365</f>
        <v>#VALUE!</v>
      </c>
      <c r="Q284" t="e">
        <f t="shared" ca="1" si="24"/>
        <v>#VALUE!</v>
      </c>
      <c r="R284" t="e">
        <f ca="1">IF(Table3[[#This Row],[12 M Stat]]="Claimable",1,0)</f>
        <v>#VALUE!</v>
      </c>
      <c r="S284" t="e">
        <f ca="1">Table3[[#This Row],[Placement claim Highlight]]+Table3[[#This Row],[Highlight rule 6M]]+Table3[[#This Row],[Highlight rule 12 M]]</f>
        <v>#VALUE!</v>
      </c>
      <c r="T284" s="6">
        <f>SUM(Table3[[#This Row],[Placement Fee]:[Salary]])</f>
        <v>0</v>
      </c>
      <c r="U284" s="6"/>
      <c r="V284" s="6">
        <f>IF(Table1[[#This Row],[MoL]]="Yes",55,0)</f>
        <v>0</v>
      </c>
      <c r="W284" s="6">
        <f>IF(Table1[[#This Row],[Long MoL +3 Years]]="Yes",137.5,0)</f>
        <v>0</v>
      </c>
      <c r="X284" s="6">
        <f>IF(Table1[[#This Row],[Gender]]="Female",137.5,0)</f>
        <v>0</v>
      </c>
      <c r="Y284" s="6">
        <f>IF(Table1[[#This Row],[Education]]="Bachelors +",55,0)</f>
        <v>0</v>
      </c>
      <c r="Z284" s="6">
        <f>IF(Table1[[#This Row],[Salary]]&gt;=600,82.5,0)</f>
        <v>0</v>
      </c>
    </row>
    <row r="285" spans="1:26">
      <c r="A285" s="3">
        <f>Table1[[#This Row],[SL No.]]</f>
        <v>284</v>
      </c>
      <c r="B285">
        <f>Table1[[#This Row],[Case manager]]</f>
        <v>0</v>
      </c>
      <c r="C285">
        <f>Table1[[#This Row],[Ref No]]</f>
        <v>0</v>
      </c>
      <c r="D285">
        <f>Table1[[#This Row],[Name]]</f>
        <v>0</v>
      </c>
      <c r="E285" s="4" t="str">
        <f>'Placements 26'!F284</f>
        <v>-</v>
      </c>
      <c r="F285" s="4" t="e">
        <f t="shared" ca="1" si="25"/>
        <v>#VALUE!</v>
      </c>
      <c r="G285" s="4"/>
      <c r="H285" s="4"/>
      <c r="J285">
        <f>IF(Table3[[#This Row],[Placement Fee &amp; Variables]]&gt;0,0,1)</f>
        <v>1</v>
      </c>
      <c r="K285" s="4" t="e">
        <f>Table3[[#This Row],[Joining Date]]+180</f>
        <v>#VALUE!</v>
      </c>
      <c r="L285" t="e">
        <f t="shared" ca="1" si="26"/>
        <v>#VALUE!</v>
      </c>
      <c r="N285" t="e">
        <f ca="1">IF(Table3[[#This Row],[6M Stat]]="Claimable",1,0)</f>
        <v>#VALUE!</v>
      </c>
      <c r="O285" s="4" t="e">
        <f>Table3[[#This Row],[Joining Date]]+365</f>
        <v>#VALUE!</v>
      </c>
      <c r="Q285" t="e">
        <f t="shared" ca="1" si="24"/>
        <v>#VALUE!</v>
      </c>
      <c r="R285" t="e">
        <f ca="1">IF(Table3[[#This Row],[12 M Stat]]="Claimable",1,0)</f>
        <v>#VALUE!</v>
      </c>
      <c r="S285" t="e">
        <f ca="1">Table3[[#This Row],[Placement claim Highlight]]+Table3[[#This Row],[Highlight rule 6M]]+Table3[[#This Row],[Highlight rule 12 M]]</f>
        <v>#VALUE!</v>
      </c>
      <c r="T285" s="6">
        <f>SUM(Table3[[#This Row],[Placement Fee]:[Salary]])</f>
        <v>0</v>
      </c>
      <c r="U285" s="6"/>
      <c r="V285" s="6">
        <f>IF(Table1[[#This Row],[MoL]]="Yes",55,0)</f>
        <v>0</v>
      </c>
      <c r="W285" s="6">
        <f>IF(Table1[[#This Row],[Long MoL +3 Years]]="Yes",137.5,0)</f>
        <v>0</v>
      </c>
      <c r="X285" s="6">
        <f>IF(Table1[[#This Row],[Gender]]="Female",137.5,0)</f>
        <v>0</v>
      </c>
      <c r="Y285" s="6">
        <f>IF(Table1[[#This Row],[Education]]="Bachelors +",55,0)</f>
        <v>0</v>
      </c>
      <c r="Z285" s="6">
        <f>IF(Table1[[#This Row],[Salary]]&gt;=600,82.5,0)</f>
        <v>0</v>
      </c>
    </row>
    <row r="286" spans="1:26">
      <c r="A286" s="3">
        <f>Table1[[#This Row],[SL No.]]</f>
        <v>285</v>
      </c>
      <c r="B286">
        <f>Table1[[#This Row],[Case manager]]</f>
        <v>0</v>
      </c>
      <c r="C286">
        <f>Table1[[#This Row],[Ref No]]</f>
        <v>0</v>
      </c>
      <c r="D286">
        <f>Table1[[#This Row],[Name]]</f>
        <v>0</v>
      </c>
      <c r="E286" s="4" t="str">
        <f>'Placements 26'!F285</f>
        <v>-</v>
      </c>
      <c r="F286" s="4" t="e">
        <f t="shared" ca="1" si="25"/>
        <v>#VALUE!</v>
      </c>
      <c r="G286" s="4"/>
      <c r="H286" s="4"/>
      <c r="J286">
        <f>IF(Table3[[#This Row],[Placement Fee &amp; Variables]]&gt;0,0,1)</f>
        <v>1</v>
      </c>
      <c r="K286" s="4" t="e">
        <f>Table3[[#This Row],[Joining Date]]+180</f>
        <v>#VALUE!</v>
      </c>
      <c r="L286" t="e">
        <f t="shared" ca="1" si="26"/>
        <v>#VALUE!</v>
      </c>
      <c r="N286" t="e">
        <f ca="1">IF(Table3[[#This Row],[6M Stat]]="Claimable",1,0)</f>
        <v>#VALUE!</v>
      </c>
      <c r="O286" s="4" t="e">
        <f>Table3[[#This Row],[Joining Date]]+365</f>
        <v>#VALUE!</v>
      </c>
      <c r="Q286" t="e">
        <f t="shared" ca="1" si="24"/>
        <v>#VALUE!</v>
      </c>
      <c r="R286" t="e">
        <f ca="1">IF(Table3[[#This Row],[12 M Stat]]="Claimable",1,0)</f>
        <v>#VALUE!</v>
      </c>
      <c r="S286" t="e">
        <f ca="1">Table3[[#This Row],[Placement claim Highlight]]+Table3[[#This Row],[Highlight rule 6M]]+Table3[[#This Row],[Highlight rule 12 M]]</f>
        <v>#VALUE!</v>
      </c>
      <c r="T286" s="6">
        <f>SUM(Table3[[#This Row],[Placement Fee]:[Salary]])</f>
        <v>0</v>
      </c>
      <c r="U286" s="6"/>
      <c r="V286" s="6">
        <f>IF(Table1[[#This Row],[MoL]]="Yes",55,0)</f>
        <v>0</v>
      </c>
      <c r="W286" s="6">
        <f>IF(Table1[[#This Row],[Long MoL +3 Years]]="Yes",137.5,0)</f>
        <v>0</v>
      </c>
      <c r="X286" s="6">
        <f>IF(Table1[[#This Row],[Gender]]="Female",137.5,0)</f>
        <v>0</v>
      </c>
      <c r="Y286" s="6">
        <f>IF(Table1[[#This Row],[Education]]="Bachelors +",55,0)</f>
        <v>0</v>
      </c>
      <c r="Z286" s="6">
        <f>IF(Table1[[#This Row],[Salary]]&gt;=600,82.5,0)</f>
        <v>0</v>
      </c>
    </row>
    <row r="287" spans="1:26">
      <c r="A287" s="3">
        <f>Table1[[#This Row],[SL No.]]</f>
        <v>286</v>
      </c>
      <c r="B287">
        <f>Table1[[#This Row],[Case manager]]</f>
        <v>0</v>
      </c>
      <c r="C287">
        <f>Table1[[#This Row],[Ref No]]</f>
        <v>0</v>
      </c>
      <c r="D287">
        <f>Table1[[#This Row],[Name]]</f>
        <v>0</v>
      </c>
      <c r="E287" s="4" t="str">
        <f>'Placements 26'!F286</f>
        <v>-</v>
      </c>
      <c r="F287" s="4" t="e">
        <f t="shared" ca="1" si="25"/>
        <v>#VALUE!</v>
      </c>
      <c r="G287" s="4"/>
      <c r="H287" s="4"/>
      <c r="J287">
        <f>IF(Table3[[#This Row],[Placement Fee &amp; Variables]]&gt;0,0,1)</f>
        <v>1</v>
      </c>
      <c r="K287" s="4" t="e">
        <f>Table3[[#This Row],[Joining Date]]+180</f>
        <v>#VALUE!</v>
      </c>
      <c r="L287" t="e">
        <f t="shared" ca="1" si="26"/>
        <v>#VALUE!</v>
      </c>
      <c r="N287" t="e">
        <f ca="1">IF(Table3[[#This Row],[6M Stat]]="Claimable",1,0)</f>
        <v>#VALUE!</v>
      </c>
      <c r="O287" s="4" t="e">
        <f>Table3[[#This Row],[Joining Date]]+365</f>
        <v>#VALUE!</v>
      </c>
      <c r="Q287" t="e">
        <f t="shared" ca="1" si="24"/>
        <v>#VALUE!</v>
      </c>
      <c r="R287" t="e">
        <f ca="1">IF(Table3[[#This Row],[12 M Stat]]="Claimable",1,0)</f>
        <v>#VALUE!</v>
      </c>
      <c r="S287" t="e">
        <f ca="1">Table3[[#This Row],[Placement claim Highlight]]+Table3[[#This Row],[Highlight rule 6M]]+Table3[[#This Row],[Highlight rule 12 M]]</f>
        <v>#VALUE!</v>
      </c>
      <c r="T287" s="6">
        <f>SUM(Table3[[#This Row],[Placement Fee]:[Salary]])</f>
        <v>0</v>
      </c>
      <c r="U287" s="6"/>
      <c r="V287" s="6">
        <f>IF(Table1[[#This Row],[MoL]]="Yes",55,0)</f>
        <v>0</v>
      </c>
      <c r="W287" s="6">
        <f>IF(Table1[[#This Row],[Long MoL +3 Years]]="Yes",137.5,0)</f>
        <v>0</v>
      </c>
      <c r="X287" s="6">
        <f>IF(Table1[[#This Row],[Gender]]="Female",137.5,0)</f>
        <v>0</v>
      </c>
      <c r="Y287" s="6">
        <f>IF(Table1[[#This Row],[Education]]="Bachelors +",55,0)</f>
        <v>0</v>
      </c>
      <c r="Z287" s="6">
        <f>IF(Table1[[#This Row],[Salary]]&gt;=600,82.5,0)</f>
        <v>0</v>
      </c>
    </row>
    <row r="288" spans="1:26">
      <c r="A288" s="3">
        <f>Table1[[#This Row],[SL No.]]</f>
        <v>287</v>
      </c>
      <c r="B288">
        <f>Table1[[#This Row],[Case manager]]</f>
        <v>0</v>
      </c>
      <c r="C288">
        <f>Table1[[#This Row],[Ref No]]</f>
        <v>0</v>
      </c>
      <c r="D288">
        <f>Table1[[#This Row],[Name]]</f>
        <v>0</v>
      </c>
      <c r="E288" s="4" t="str">
        <f>'Placements 26'!F287</f>
        <v>-</v>
      </c>
      <c r="F288" s="4" t="e">
        <f t="shared" ca="1" si="25"/>
        <v>#VALUE!</v>
      </c>
      <c r="G288" s="4"/>
      <c r="H288" s="4"/>
      <c r="J288">
        <f>IF(Table3[[#This Row],[Placement Fee &amp; Variables]]&gt;0,0,1)</f>
        <v>1</v>
      </c>
      <c r="K288" s="4" t="e">
        <f>Table3[[#This Row],[Joining Date]]+180</f>
        <v>#VALUE!</v>
      </c>
      <c r="L288" t="e">
        <f t="shared" ca="1" si="26"/>
        <v>#VALUE!</v>
      </c>
      <c r="N288" t="e">
        <f ca="1">IF(Table3[[#This Row],[6M Stat]]="Claimable",1,0)</f>
        <v>#VALUE!</v>
      </c>
      <c r="O288" s="4" t="e">
        <f>Table3[[#This Row],[Joining Date]]+365</f>
        <v>#VALUE!</v>
      </c>
      <c r="Q288" t="e">
        <f t="shared" ca="1" si="24"/>
        <v>#VALUE!</v>
      </c>
      <c r="R288" t="e">
        <f ca="1">IF(Table3[[#This Row],[12 M Stat]]="Claimable",1,0)</f>
        <v>#VALUE!</v>
      </c>
      <c r="S288" t="e">
        <f ca="1">Table3[[#This Row],[Placement claim Highlight]]+Table3[[#This Row],[Highlight rule 6M]]+Table3[[#This Row],[Highlight rule 12 M]]</f>
        <v>#VALUE!</v>
      </c>
      <c r="T288" s="6">
        <f>SUM(Table3[[#This Row],[Placement Fee]:[Salary]])</f>
        <v>0</v>
      </c>
      <c r="U288" s="6"/>
      <c r="V288" s="6">
        <f>IF(Table1[[#This Row],[MoL]]="Yes",55,0)</f>
        <v>0</v>
      </c>
      <c r="W288" s="6">
        <f>IF(Table1[[#This Row],[Long MoL +3 Years]]="Yes",137.5,0)</f>
        <v>0</v>
      </c>
      <c r="X288" s="6">
        <f>IF(Table1[[#This Row],[Gender]]="Female",137.5,0)</f>
        <v>0</v>
      </c>
      <c r="Y288" s="6">
        <f>IF(Table1[[#This Row],[Education]]="Bachelors +",55,0)</f>
        <v>0</v>
      </c>
      <c r="Z288" s="6">
        <f>IF(Table1[[#This Row],[Salary]]&gt;=600,82.5,0)</f>
        <v>0</v>
      </c>
    </row>
    <row r="289" spans="1:26">
      <c r="A289" s="3">
        <f>Table1[[#This Row],[SL No.]]</f>
        <v>288</v>
      </c>
      <c r="B289">
        <f>Table1[[#This Row],[Case manager]]</f>
        <v>0</v>
      </c>
      <c r="C289">
        <f>Table1[[#This Row],[Ref No]]</f>
        <v>0</v>
      </c>
      <c r="D289">
        <f>Table1[[#This Row],[Name]]</f>
        <v>0</v>
      </c>
      <c r="E289" s="4" t="str">
        <f>'Placements 26'!F288</f>
        <v>-</v>
      </c>
      <c r="F289" s="4" t="e">
        <f t="shared" ca="1" si="25"/>
        <v>#VALUE!</v>
      </c>
      <c r="G289" s="4"/>
      <c r="H289" s="4"/>
      <c r="J289">
        <f>IF(Table3[[#This Row],[Placement Fee &amp; Variables]]&gt;0,0,1)</f>
        <v>1</v>
      </c>
      <c r="K289" s="4" t="e">
        <f>Table3[[#This Row],[Joining Date]]+180</f>
        <v>#VALUE!</v>
      </c>
      <c r="L289" t="e">
        <f t="shared" ca="1" si="26"/>
        <v>#VALUE!</v>
      </c>
      <c r="N289" t="e">
        <f ca="1">IF(Table3[[#This Row],[6M Stat]]="Claimable",1,0)</f>
        <v>#VALUE!</v>
      </c>
      <c r="O289" s="4" t="e">
        <f>Table3[[#This Row],[Joining Date]]+365</f>
        <v>#VALUE!</v>
      </c>
      <c r="Q289" t="e">
        <f t="shared" ca="1" si="24"/>
        <v>#VALUE!</v>
      </c>
      <c r="R289" t="e">
        <f ca="1">IF(Table3[[#This Row],[12 M Stat]]="Claimable",1,0)</f>
        <v>#VALUE!</v>
      </c>
      <c r="S289" t="e">
        <f ca="1">Table3[[#This Row],[Placement claim Highlight]]+Table3[[#This Row],[Highlight rule 6M]]+Table3[[#This Row],[Highlight rule 12 M]]</f>
        <v>#VALUE!</v>
      </c>
      <c r="T289" s="6">
        <f>SUM(Table3[[#This Row],[Placement Fee]:[Salary]])</f>
        <v>0</v>
      </c>
      <c r="U289" s="6"/>
      <c r="V289" s="6">
        <f>IF(Table1[[#This Row],[MoL]]="Yes",55,0)</f>
        <v>0</v>
      </c>
      <c r="W289" s="6">
        <f>IF(Table1[[#This Row],[Long MoL +3 Years]]="Yes",137.5,0)</f>
        <v>0</v>
      </c>
      <c r="X289" s="6">
        <f>IF(Table1[[#This Row],[Gender]]="Female",137.5,0)</f>
        <v>0</v>
      </c>
      <c r="Y289" s="6">
        <f>IF(Table1[[#This Row],[Education]]="Bachelors +",55,0)</f>
        <v>0</v>
      </c>
      <c r="Z289" s="6">
        <f>IF(Table1[[#This Row],[Salary]]&gt;=600,82.5,0)</f>
        <v>0</v>
      </c>
    </row>
    <row r="290" spans="1:26">
      <c r="A290" s="3">
        <f>Table1[[#This Row],[SL No.]]</f>
        <v>289</v>
      </c>
      <c r="B290">
        <f>Table1[[#This Row],[Case manager]]</f>
        <v>0</v>
      </c>
      <c r="C290">
        <f>Table1[[#This Row],[Ref No]]</f>
        <v>0</v>
      </c>
      <c r="D290">
        <f>Table1[[#This Row],[Name]]</f>
        <v>0</v>
      </c>
      <c r="E290" s="4" t="str">
        <f>'Placements 26'!F289</f>
        <v>-</v>
      </c>
      <c r="F290" s="4" t="e">
        <f t="shared" ca="1" si="25"/>
        <v>#VALUE!</v>
      </c>
      <c r="G290" s="4"/>
      <c r="H290" s="4"/>
      <c r="J290">
        <f>IF(Table3[[#This Row],[Placement Fee &amp; Variables]]&gt;0,0,1)</f>
        <v>1</v>
      </c>
      <c r="K290" s="4" t="e">
        <f>Table3[[#This Row],[Joining Date]]+180</f>
        <v>#VALUE!</v>
      </c>
      <c r="L290" t="e">
        <f t="shared" ca="1" si="26"/>
        <v>#VALUE!</v>
      </c>
      <c r="N290" t="e">
        <f ca="1">IF(Table3[[#This Row],[6M Stat]]="Claimable",1,0)</f>
        <v>#VALUE!</v>
      </c>
      <c r="O290" s="4" t="e">
        <f>Table3[[#This Row],[Joining Date]]+365</f>
        <v>#VALUE!</v>
      </c>
      <c r="Q290" t="e">
        <f t="shared" ca="1" si="24"/>
        <v>#VALUE!</v>
      </c>
      <c r="R290" t="e">
        <f ca="1">IF(Table3[[#This Row],[12 M Stat]]="Claimable",1,0)</f>
        <v>#VALUE!</v>
      </c>
      <c r="S290" t="e">
        <f ca="1">Table3[[#This Row],[Placement claim Highlight]]+Table3[[#This Row],[Highlight rule 6M]]+Table3[[#This Row],[Highlight rule 12 M]]</f>
        <v>#VALUE!</v>
      </c>
      <c r="T290" s="6">
        <f>SUM(Table3[[#This Row],[Placement Fee]:[Salary]])</f>
        <v>0</v>
      </c>
      <c r="U290" s="6"/>
      <c r="V290" s="6">
        <f>IF(Table1[[#This Row],[MoL]]="Yes",55,0)</f>
        <v>0</v>
      </c>
      <c r="W290" s="6">
        <f>IF(Table1[[#This Row],[Long MoL +3 Years]]="Yes",137.5,0)</f>
        <v>0</v>
      </c>
      <c r="X290" s="6">
        <f>IF(Table1[[#This Row],[Gender]]="Female",137.5,0)</f>
        <v>0</v>
      </c>
      <c r="Y290" s="6">
        <f>IF(Table1[[#This Row],[Education]]="Bachelors +",55,0)</f>
        <v>0</v>
      </c>
      <c r="Z290" s="6">
        <f>IF(Table1[[#This Row],[Salary]]&gt;=600,82.5,0)</f>
        <v>0</v>
      </c>
    </row>
    <row r="291" spans="1:26">
      <c r="A291" s="3">
        <f>Table1[[#This Row],[SL No.]]</f>
        <v>290</v>
      </c>
      <c r="B291">
        <f>Table1[[#This Row],[Case manager]]</f>
        <v>0</v>
      </c>
      <c r="C291">
        <f>Table1[[#This Row],[Ref No]]</f>
        <v>0</v>
      </c>
      <c r="D291">
        <f>Table1[[#This Row],[Name]]</f>
        <v>0</v>
      </c>
      <c r="E291" s="4" t="str">
        <f>'Placements 26'!F290</f>
        <v>-</v>
      </c>
      <c r="F291" s="4" t="e">
        <f t="shared" ca="1" si="25"/>
        <v>#VALUE!</v>
      </c>
      <c r="G291" s="4"/>
      <c r="H291" s="4"/>
      <c r="J291">
        <f>IF(Table3[[#This Row],[Placement Fee &amp; Variables]]&gt;0,0,1)</f>
        <v>1</v>
      </c>
      <c r="K291" s="4" t="e">
        <f>Table3[[#This Row],[Joining Date]]+180</f>
        <v>#VALUE!</v>
      </c>
      <c r="L291" t="e">
        <f t="shared" ca="1" si="26"/>
        <v>#VALUE!</v>
      </c>
      <c r="N291" t="e">
        <f ca="1">IF(Table3[[#This Row],[6M Stat]]="Claimable",1,0)</f>
        <v>#VALUE!</v>
      </c>
      <c r="O291" s="4" t="e">
        <f>Table3[[#This Row],[Joining Date]]+365</f>
        <v>#VALUE!</v>
      </c>
      <c r="Q291" t="e">
        <f t="shared" ca="1" si="24"/>
        <v>#VALUE!</v>
      </c>
      <c r="R291" t="e">
        <f ca="1">IF(Table3[[#This Row],[12 M Stat]]="Claimable",1,0)</f>
        <v>#VALUE!</v>
      </c>
      <c r="S291" t="e">
        <f ca="1">Table3[[#This Row],[Placement claim Highlight]]+Table3[[#This Row],[Highlight rule 6M]]+Table3[[#This Row],[Highlight rule 12 M]]</f>
        <v>#VALUE!</v>
      </c>
      <c r="T291" s="6">
        <f>SUM(Table3[[#This Row],[Placement Fee]:[Salary]])</f>
        <v>0</v>
      </c>
      <c r="U291" s="6"/>
      <c r="V291" s="6">
        <f>IF(Table1[[#This Row],[MoL]]="Yes",55,0)</f>
        <v>0</v>
      </c>
      <c r="W291" s="6">
        <f>IF(Table1[[#This Row],[Long MoL +3 Years]]="Yes",137.5,0)</f>
        <v>0</v>
      </c>
      <c r="X291" s="6">
        <f>IF(Table1[[#This Row],[Gender]]="Female",137.5,0)</f>
        <v>0</v>
      </c>
      <c r="Y291" s="6">
        <f>IF(Table1[[#This Row],[Education]]="Bachelors +",55,0)</f>
        <v>0</v>
      </c>
      <c r="Z291" s="6">
        <f>IF(Table1[[#This Row],[Salary]]&gt;=600,82.5,0)</f>
        <v>0</v>
      </c>
    </row>
    <row r="292" spans="1:26">
      <c r="A292" s="3">
        <f>Table1[[#This Row],[SL No.]]</f>
        <v>291</v>
      </c>
      <c r="B292">
        <f>Table1[[#This Row],[Case manager]]</f>
        <v>0</v>
      </c>
      <c r="C292">
        <f>Table1[[#This Row],[Ref No]]</f>
        <v>0</v>
      </c>
      <c r="D292">
        <f>Table1[[#This Row],[Name]]</f>
        <v>0</v>
      </c>
      <c r="E292" s="4" t="str">
        <f>'Placements 26'!F291</f>
        <v>-</v>
      </c>
      <c r="F292" s="4" t="e">
        <f t="shared" ca="1" si="25"/>
        <v>#VALUE!</v>
      </c>
      <c r="G292" s="4"/>
      <c r="H292" s="4"/>
      <c r="J292">
        <f>IF(Table3[[#This Row],[Placement Fee &amp; Variables]]&gt;0,0,1)</f>
        <v>1</v>
      </c>
      <c r="K292" s="4" t="e">
        <f>Table3[[#This Row],[Joining Date]]+180</f>
        <v>#VALUE!</v>
      </c>
      <c r="L292" t="e">
        <f t="shared" ca="1" si="26"/>
        <v>#VALUE!</v>
      </c>
      <c r="N292" t="e">
        <f ca="1">IF(Table3[[#This Row],[6M Stat]]="Claimable",1,0)</f>
        <v>#VALUE!</v>
      </c>
      <c r="O292" s="4" t="e">
        <f>Table3[[#This Row],[Joining Date]]+365</f>
        <v>#VALUE!</v>
      </c>
      <c r="Q292" t="e">
        <f t="shared" ca="1" si="24"/>
        <v>#VALUE!</v>
      </c>
      <c r="R292" t="e">
        <f ca="1">IF(Table3[[#This Row],[12 M Stat]]="Claimable",1,0)</f>
        <v>#VALUE!</v>
      </c>
      <c r="S292" t="e">
        <f ca="1">Table3[[#This Row],[Placement claim Highlight]]+Table3[[#This Row],[Highlight rule 6M]]+Table3[[#This Row],[Highlight rule 12 M]]</f>
        <v>#VALUE!</v>
      </c>
      <c r="T292" s="6">
        <f>SUM(Table3[[#This Row],[Placement Fee]:[Salary]])</f>
        <v>0</v>
      </c>
      <c r="U292" s="6"/>
      <c r="V292" s="6">
        <f>IF(Table1[[#This Row],[MoL]]="Yes",55,0)</f>
        <v>0</v>
      </c>
      <c r="W292" s="6">
        <f>IF(Table1[[#This Row],[Long MoL +3 Years]]="Yes",137.5,0)</f>
        <v>0</v>
      </c>
      <c r="X292" s="6">
        <f>IF(Table1[[#This Row],[Gender]]="Female",137.5,0)</f>
        <v>0</v>
      </c>
      <c r="Y292" s="6">
        <f>IF(Table1[[#This Row],[Education]]="Bachelors +",55,0)</f>
        <v>0</v>
      </c>
      <c r="Z292" s="6">
        <f>IF(Table1[[#This Row],[Salary]]&gt;=600,82.5,0)</f>
        <v>0</v>
      </c>
    </row>
    <row r="293" spans="1:26">
      <c r="A293" s="3">
        <f>Table1[[#This Row],[SL No.]]</f>
        <v>292</v>
      </c>
      <c r="B293">
        <f>Table1[[#This Row],[Case manager]]</f>
        <v>0</v>
      </c>
      <c r="C293">
        <f>Table1[[#This Row],[Ref No]]</f>
        <v>0</v>
      </c>
      <c r="D293">
        <f>Table1[[#This Row],[Name]]</f>
        <v>0</v>
      </c>
      <c r="E293" s="4" t="str">
        <f>'Placements 26'!F292</f>
        <v>-</v>
      </c>
      <c r="F293" s="4" t="e">
        <f t="shared" ca="1" si="25"/>
        <v>#VALUE!</v>
      </c>
      <c r="G293" s="4"/>
      <c r="H293" s="4"/>
      <c r="J293">
        <f>IF(Table3[[#This Row],[Placement Fee &amp; Variables]]&gt;0,0,1)</f>
        <v>1</v>
      </c>
      <c r="K293" s="4" t="e">
        <f>Table3[[#This Row],[Joining Date]]+180</f>
        <v>#VALUE!</v>
      </c>
      <c r="L293" t="e">
        <f t="shared" ca="1" si="26"/>
        <v>#VALUE!</v>
      </c>
      <c r="N293" t="e">
        <f ca="1">IF(Table3[[#This Row],[6M Stat]]="Claimable",1,0)</f>
        <v>#VALUE!</v>
      </c>
      <c r="O293" s="4" t="e">
        <f>Table3[[#This Row],[Joining Date]]+365</f>
        <v>#VALUE!</v>
      </c>
      <c r="Q293" t="e">
        <f t="shared" ca="1" si="24"/>
        <v>#VALUE!</v>
      </c>
      <c r="R293" t="e">
        <f ca="1">IF(Table3[[#This Row],[12 M Stat]]="Claimable",1,0)</f>
        <v>#VALUE!</v>
      </c>
      <c r="S293" t="e">
        <f ca="1">Table3[[#This Row],[Placement claim Highlight]]+Table3[[#This Row],[Highlight rule 6M]]+Table3[[#This Row],[Highlight rule 12 M]]</f>
        <v>#VALUE!</v>
      </c>
      <c r="T293" s="6">
        <f>SUM(Table3[[#This Row],[Placement Fee]:[Salary]])</f>
        <v>0</v>
      </c>
      <c r="U293" s="6"/>
      <c r="V293" s="6">
        <f>IF(Table1[[#This Row],[MoL]]="Yes",55,0)</f>
        <v>0</v>
      </c>
      <c r="W293" s="6">
        <f>IF(Table1[[#This Row],[Long MoL +3 Years]]="Yes",137.5,0)</f>
        <v>0</v>
      </c>
      <c r="X293" s="6">
        <f>IF(Table1[[#This Row],[Gender]]="Female",137.5,0)</f>
        <v>0</v>
      </c>
      <c r="Y293" s="6">
        <f>IF(Table1[[#This Row],[Education]]="Bachelors +",55,0)</f>
        <v>0</v>
      </c>
      <c r="Z293" s="6">
        <f>IF(Table1[[#This Row],[Salary]]&gt;=600,82.5,0)</f>
        <v>0</v>
      </c>
    </row>
    <row r="294" spans="1:26">
      <c r="A294" s="3">
        <f>Table1[[#This Row],[SL No.]]</f>
        <v>293</v>
      </c>
      <c r="B294">
        <f>Table1[[#This Row],[Case manager]]</f>
        <v>0</v>
      </c>
      <c r="C294">
        <f>Table1[[#This Row],[Ref No]]</f>
        <v>0</v>
      </c>
      <c r="D294">
        <f>Table1[[#This Row],[Name]]</f>
        <v>0</v>
      </c>
      <c r="E294" s="4" t="str">
        <f>'Placements 26'!F293</f>
        <v>-</v>
      </c>
      <c r="F294" s="4" t="e">
        <f t="shared" ca="1" si="25"/>
        <v>#VALUE!</v>
      </c>
      <c r="G294" s="4"/>
      <c r="H294" s="4"/>
      <c r="J294">
        <f>IF(Table3[[#This Row],[Placement Fee &amp; Variables]]&gt;0,0,1)</f>
        <v>1</v>
      </c>
      <c r="K294" s="4" t="e">
        <f>Table3[[#This Row],[Joining Date]]+180</f>
        <v>#VALUE!</v>
      </c>
      <c r="L294" t="e">
        <f t="shared" ca="1" si="26"/>
        <v>#VALUE!</v>
      </c>
      <c r="N294" t="e">
        <f ca="1">IF(Table3[[#This Row],[6M Stat]]="Claimable",1,0)</f>
        <v>#VALUE!</v>
      </c>
      <c r="O294" s="4" t="e">
        <f>Table3[[#This Row],[Joining Date]]+365</f>
        <v>#VALUE!</v>
      </c>
      <c r="Q294" t="e">
        <f t="shared" ca="1" si="24"/>
        <v>#VALUE!</v>
      </c>
      <c r="R294" t="e">
        <f ca="1">IF(Table3[[#This Row],[12 M Stat]]="Claimable",1,0)</f>
        <v>#VALUE!</v>
      </c>
      <c r="S294" t="e">
        <f ca="1">Table3[[#This Row],[Placement claim Highlight]]+Table3[[#This Row],[Highlight rule 6M]]+Table3[[#This Row],[Highlight rule 12 M]]</f>
        <v>#VALUE!</v>
      </c>
      <c r="T294" s="6">
        <f>SUM(Table3[[#This Row],[Placement Fee]:[Salary]])</f>
        <v>0</v>
      </c>
      <c r="U294" s="6"/>
      <c r="V294" s="6">
        <f>IF(Table1[[#This Row],[MoL]]="Yes",55,0)</f>
        <v>0</v>
      </c>
      <c r="W294" s="6">
        <f>IF(Table1[[#This Row],[Long MoL +3 Years]]="Yes",137.5,0)</f>
        <v>0</v>
      </c>
      <c r="X294" s="6">
        <f>IF(Table1[[#This Row],[Gender]]="Female",137.5,0)</f>
        <v>0</v>
      </c>
      <c r="Y294" s="6">
        <f>IF(Table1[[#This Row],[Education]]="Bachelors +",55,0)</f>
        <v>0</v>
      </c>
      <c r="Z294" s="6">
        <f>IF(Table1[[#This Row],[Salary]]&gt;=600,82.5,0)</f>
        <v>0</v>
      </c>
    </row>
    <row r="295" spans="1:26">
      <c r="A295" s="3">
        <f>Table1[[#This Row],[SL No.]]</f>
        <v>294</v>
      </c>
      <c r="B295">
        <f>Table1[[#This Row],[Case manager]]</f>
        <v>0</v>
      </c>
      <c r="C295">
        <f>Table1[[#This Row],[Ref No]]</f>
        <v>0</v>
      </c>
      <c r="D295">
        <f>Table1[[#This Row],[Name]]</f>
        <v>0</v>
      </c>
      <c r="E295" s="4" t="str">
        <f>'Placements 26'!F294</f>
        <v>-</v>
      </c>
      <c r="F295" s="4" t="e">
        <f t="shared" ca="1" si="25"/>
        <v>#VALUE!</v>
      </c>
      <c r="G295" s="4"/>
      <c r="H295" s="4"/>
      <c r="J295">
        <f>IF(Table3[[#This Row],[Placement Fee &amp; Variables]]&gt;0,0,1)</f>
        <v>1</v>
      </c>
      <c r="K295" s="4" t="e">
        <f>Table3[[#This Row],[Joining Date]]+180</f>
        <v>#VALUE!</v>
      </c>
      <c r="L295" t="e">
        <f t="shared" ca="1" si="26"/>
        <v>#VALUE!</v>
      </c>
      <c r="N295" t="e">
        <f ca="1">IF(Table3[[#This Row],[6M Stat]]="Claimable",1,0)</f>
        <v>#VALUE!</v>
      </c>
      <c r="O295" s="4" t="e">
        <f>Table3[[#This Row],[Joining Date]]+365</f>
        <v>#VALUE!</v>
      </c>
      <c r="Q295" t="e">
        <f t="shared" ca="1" si="24"/>
        <v>#VALUE!</v>
      </c>
      <c r="R295" t="e">
        <f ca="1">IF(Table3[[#This Row],[12 M Stat]]="Claimable",1,0)</f>
        <v>#VALUE!</v>
      </c>
      <c r="S295" t="e">
        <f ca="1">Table3[[#This Row],[Placement claim Highlight]]+Table3[[#This Row],[Highlight rule 6M]]+Table3[[#This Row],[Highlight rule 12 M]]</f>
        <v>#VALUE!</v>
      </c>
      <c r="T295" s="6">
        <f>SUM(Table3[[#This Row],[Placement Fee]:[Salary]])</f>
        <v>0</v>
      </c>
      <c r="U295" s="6"/>
      <c r="V295" s="6">
        <f>IF(Table1[[#This Row],[MoL]]="Yes",55,0)</f>
        <v>0</v>
      </c>
      <c r="W295" s="6">
        <f>IF(Table1[[#This Row],[Long MoL +3 Years]]="Yes",137.5,0)</f>
        <v>0</v>
      </c>
      <c r="X295" s="6">
        <f>IF(Table1[[#This Row],[Gender]]="Female",137.5,0)</f>
        <v>0</v>
      </c>
      <c r="Y295" s="6">
        <f>IF(Table1[[#This Row],[Education]]="Bachelors +",55,0)</f>
        <v>0</v>
      </c>
      <c r="Z295" s="6">
        <f>IF(Table1[[#This Row],[Salary]]&gt;=600,82.5,0)</f>
        <v>0</v>
      </c>
    </row>
    <row r="296" spans="1:26">
      <c r="A296" s="3">
        <f>Table1[[#This Row],[SL No.]]</f>
        <v>295</v>
      </c>
      <c r="B296">
        <f>Table1[[#This Row],[Case manager]]</f>
        <v>0</v>
      </c>
      <c r="C296">
        <f>Table1[[#This Row],[Ref No]]</f>
        <v>0</v>
      </c>
      <c r="D296">
        <f>Table1[[#This Row],[Name]]</f>
        <v>0</v>
      </c>
      <c r="E296" s="4" t="str">
        <f>'Placements 26'!F295</f>
        <v>-</v>
      </c>
      <c r="F296" s="4" t="e">
        <f t="shared" ca="1" si="25"/>
        <v>#VALUE!</v>
      </c>
      <c r="G296" s="4"/>
      <c r="H296" s="4"/>
      <c r="J296">
        <f>IF(Table3[[#This Row],[Placement Fee &amp; Variables]]&gt;0,0,1)</f>
        <v>1</v>
      </c>
      <c r="K296" s="4" t="e">
        <f>Table3[[#This Row],[Joining Date]]+180</f>
        <v>#VALUE!</v>
      </c>
      <c r="L296" t="e">
        <f t="shared" ca="1" si="26"/>
        <v>#VALUE!</v>
      </c>
      <c r="N296" t="e">
        <f ca="1">IF(Table3[[#This Row],[6M Stat]]="Claimable",1,0)</f>
        <v>#VALUE!</v>
      </c>
      <c r="O296" s="4" t="e">
        <f>Table3[[#This Row],[Joining Date]]+365</f>
        <v>#VALUE!</v>
      </c>
      <c r="Q296" t="e">
        <f t="shared" ca="1" si="24"/>
        <v>#VALUE!</v>
      </c>
      <c r="R296" t="e">
        <f ca="1">IF(Table3[[#This Row],[12 M Stat]]="Claimable",1,0)</f>
        <v>#VALUE!</v>
      </c>
      <c r="S296" t="e">
        <f ca="1">Table3[[#This Row],[Placement claim Highlight]]+Table3[[#This Row],[Highlight rule 6M]]+Table3[[#This Row],[Highlight rule 12 M]]</f>
        <v>#VALUE!</v>
      </c>
      <c r="T296" s="6">
        <f>SUM(Table3[[#This Row],[Placement Fee]:[Salary]])</f>
        <v>0</v>
      </c>
      <c r="U296" s="6"/>
      <c r="V296" s="6">
        <f>IF(Table1[[#This Row],[MoL]]="Yes",55,0)</f>
        <v>0</v>
      </c>
      <c r="W296" s="6">
        <f>IF(Table1[[#This Row],[Long MoL +3 Years]]="Yes",137.5,0)</f>
        <v>0</v>
      </c>
      <c r="X296" s="6">
        <f>IF(Table1[[#This Row],[Gender]]="Female",137.5,0)</f>
        <v>0</v>
      </c>
      <c r="Y296" s="6">
        <f>IF(Table1[[#This Row],[Education]]="Bachelors +",55,0)</f>
        <v>0</v>
      </c>
      <c r="Z296" s="6">
        <f>IF(Table1[[#This Row],[Salary]]&gt;=600,82.5,0)</f>
        <v>0</v>
      </c>
    </row>
    <row r="297" spans="1:26">
      <c r="A297" s="3">
        <f>Table1[[#This Row],[SL No.]]</f>
        <v>296</v>
      </c>
      <c r="B297">
        <f>Table1[[#This Row],[Case manager]]</f>
        <v>0</v>
      </c>
      <c r="C297">
        <f>Table1[[#This Row],[Ref No]]</f>
        <v>0</v>
      </c>
      <c r="D297">
        <f>Table1[[#This Row],[Name]]</f>
        <v>0</v>
      </c>
      <c r="E297" s="4" t="str">
        <f>'Placements 26'!F296</f>
        <v>-</v>
      </c>
      <c r="F297" s="4" t="e">
        <f t="shared" ca="1" si="25"/>
        <v>#VALUE!</v>
      </c>
      <c r="G297" s="4"/>
      <c r="H297" s="4"/>
      <c r="J297">
        <f>IF(Table3[[#This Row],[Placement Fee &amp; Variables]]&gt;0,0,1)</f>
        <v>1</v>
      </c>
      <c r="K297" s="4" t="e">
        <f>Table3[[#This Row],[Joining Date]]+180</f>
        <v>#VALUE!</v>
      </c>
      <c r="L297" t="e">
        <f t="shared" ca="1" si="26"/>
        <v>#VALUE!</v>
      </c>
      <c r="N297" t="e">
        <f ca="1">IF(Table3[[#This Row],[6M Stat]]="Claimable",1,0)</f>
        <v>#VALUE!</v>
      </c>
      <c r="O297" s="4" t="e">
        <f>Table3[[#This Row],[Joining Date]]+365</f>
        <v>#VALUE!</v>
      </c>
      <c r="Q297" t="e">
        <f t="shared" ca="1" si="24"/>
        <v>#VALUE!</v>
      </c>
      <c r="R297" t="e">
        <f ca="1">IF(Table3[[#This Row],[12 M Stat]]="Claimable",1,0)</f>
        <v>#VALUE!</v>
      </c>
      <c r="S297" t="e">
        <f ca="1">Table3[[#This Row],[Placement claim Highlight]]+Table3[[#This Row],[Highlight rule 6M]]+Table3[[#This Row],[Highlight rule 12 M]]</f>
        <v>#VALUE!</v>
      </c>
      <c r="T297" s="6">
        <f>SUM(Table3[[#This Row],[Placement Fee]:[Salary]])</f>
        <v>0</v>
      </c>
      <c r="U297" s="6"/>
      <c r="V297" s="6">
        <f>IF(Table1[[#This Row],[MoL]]="Yes",55,0)</f>
        <v>0</v>
      </c>
      <c r="W297" s="6">
        <f>IF(Table1[[#This Row],[Long MoL +3 Years]]="Yes",137.5,0)</f>
        <v>0</v>
      </c>
      <c r="X297" s="6">
        <f>IF(Table1[[#This Row],[Gender]]="Female",137.5,0)</f>
        <v>0</v>
      </c>
      <c r="Y297" s="6">
        <f>IF(Table1[[#This Row],[Education]]="Bachelors +",55,0)</f>
        <v>0</v>
      </c>
      <c r="Z297" s="6">
        <f>IF(Table1[[#This Row],[Salary]]&gt;=600,82.5,0)</f>
        <v>0</v>
      </c>
    </row>
    <row r="298" spans="1:26">
      <c r="A298" s="3">
        <f>Table1[[#This Row],[SL No.]]</f>
        <v>297</v>
      </c>
      <c r="B298">
        <f>Table1[[#This Row],[Case manager]]</f>
        <v>0</v>
      </c>
      <c r="C298">
        <f>Table1[[#This Row],[Ref No]]</f>
        <v>0</v>
      </c>
      <c r="D298">
        <f>Table1[[#This Row],[Name]]</f>
        <v>0</v>
      </c>
      <c r="E298" s="4" t="str">
        <f>'Placements 26'!F297</f>
        <v>-</v>
      </c>
      <c r="F298" s="4" t="e">
        <f t="shared" ca="1" si="25"/>
        <v>#VALUE!</v>
      </c>
      <c r="G298" s="4"/>
      <c r="H298" s="4"/>
      <c r="J298">
        <f>IF(Table3[[#This Row],[Placement Fee &amp; Variables]]&gt;0,0,1)</f>
        <v>1</v>
      </c>
      <c r="K298" s="4" t="e">
        <f>Table3[[#This Row],[Joining Date]]+180</f>
        <v>#VALUE!</v>
      </c>
      <c r="L298" t="e">
        <f t="shared" ca="1" si="26"/>
        <v>#VALUE!</v>
      </c>
      <c r="N298" t="e">
        <f ca="1">IF(Table3[[#This Row],[6M Stat]]="Claimable",1,0)</f>
        <v>#VALUE!</v>
      </c>
      <c r="O298" s="4" t="e">
        <f>Table3[[#This Row],[Joining Date]]+365</f>
        <v>#VALUE!</v>
      </c>
      <c r="Q298" t="e">
        <f t="shared" ca="1" si="24"/>
        <v>#VALUE!</v>
      </c>
      <c r="R298" t="e">
        <f ca="1">IF(Table3[[#This Row],[12 M Stat]]="Claimable",1,0)</f>
        <v>#VALUE!</v>
      </c>
      <c r="S298" t="e">
        <f ca="1">Table3[[#This Row],[Placement claim Highlight]]+Table3[[#This Row],[Highlight rule 6M]]+Table3[[#This Row],[Highlight rule 12 M]]</f>
        <v>#VALUE!</v>
      </c>
      <c r="T298" s="6">
        <f>SUM(Table3[[#This Row],[Placement Fee]:[Salary]])</f>
        <v>0</v>
      </c>
      <c r="U298" s="6"/>
      <c r="V298" s="6">
        <f>IF(Table1[[#This Row],[MoL]]="Yes",55,0)</f>
        <v>0</v>
      </c>
      <c r="W298" s="6">
        <f>IF(Table1[[#This Row],[Long MoL +3 Years]]="Yes",137.5,0)</f>
        <v>0</v>
      </c>
      <c r="X298" s="6">
        <f>IF(Table1[[#This Row],[Gender]]="Female",137.5,0)</f>
        <v>0</v>
      </c>
      <c r="Y298" s="6">
        <f>IF(Table1[[#This Row],[Education]]="Bachelors +",55,0)</f>
        <v>0</v>
      </c>
      <c r="Z298" s="6">
        <f>IF(Table1[[#This Row],[Salary]]&gt;=600,82.5,0)</f>
        <v>0</v>
      </c>
    </row>
    <row r="299" spans="1:26">
      <c r="A299" s="3">
        <f>Table1[[#This Row],[SL No.]]</f>
        <v>298</v>
      </c>
      <c r="B299">
        <f>Table1[[#This Row],[Case manager]]</f>
        <v>0</v>
      </c>
      <c r="C299">
        <f>Table1[[#This Row],[Ref No]]</f>
        <v>0</v>
      </c>
      <c r="D299">
        <f>Table1[[#This Row],[Name]]</f>
        <v>0</v>
      </c>
      <c r="E299" s="4" t="str">
        <f>'Placements 26'!F298</f>
        <v>-</v>
      </c>
      <c r="F299" s="4" t="e">
        <f t="shared" ca="1" si="25"/>
        <v>#VALUE!</v>
      </c>
      <c r="G299" s="4"/>
      <c r="H299" s="4"/>
      <c r="J299">
        <f>IF(Table3[[#This Row],[Placement Fee &amp; Variables]]&gt;0,0,1)</f>
        <v>1</v>
      </c>
      <c r="K299" s="4" t="e">
        <f>Table3[[#This Row],[Joining Date]]+180</f>
        <v>#VALUE!</v>
      </c>
      <c r="L299" t="e">
        <f t="shared" ca="1" si="26"/>
        <v>#VALUE!</v>
      </c>
      <c r="N299" t="e">
        <f ca="1">IF(Table3[[#This Row],[6M Stat]]="Claimable",1,0)</f>
        <v>#VALUE!</v>
      </c>
      <c r="O299" s="4" t="e">
        <f>Table3[[#This Row],[Joining Date]]+365</f>
        <v>#VALUE!</v>
      </c>
      <c r="Q299" t="e">
        <f t="shared" ca="1" si="24"/>
        <v>#VALUE!</v>
      </c>
      <c r="R299" t="e">
        <f ca="1">IF(Table3[[#This Row],[12 M Stat]]="Claimable",1,0)</f>
        <v>#VALUE!</v>
      </c>
      <c r="S299" t="e">
        <f ca="1">Table3[[#This Row],[Placement claim Highlight]]+Table3[[#This Row],[Highlight rule 6M]]+Table3[[#This Row],[Highlight rule 12 M]]</f>
        <v>#VALUE!</v>
      </c>
      <c r="T299" s="6">
        <f>SUM(Table3[[#This Row],[Placement Fee]:[Salary]])</f>
        <v>0</v>
      </c>
      <c r="U299" s="6"/>
      <c r="V299" s="6">
        <f>IF(Table1[[#This Row],[MoL]]="Yes",55,0)</f>
        <v>0</v>
      </c>
      <c r="W299" s="6">
        <f>IF(Table1[[#This Row],[Long MoL +3 Years]]="Yes",137.5,0)</f>
        <v>0</v>
      </c>
      <c r="X299" s="6">
        <f>IF(Table1[[#This Row],[Gender]]="Female",137.5,0)</f>
        <v>0</v>
      </c>
      <c r="Y299" s="6">
        <f>IF(Table1[[#This Row],[Education]]="Bachelors +",55,0)</f>
        <v>0</v>
      </c>
      <c r="Z299" s="6">
        <f>IF(Table1[[#This Row],[Salary]]&gt;=600,82.5,0)</f>
        <v>0</v>
      </c>
    </row>
    <row r="300" spans="1:26">
      <c r="A300" s="3">
        <f>Table1[[#This Row],[SL No.]]</f>
        <v>299</v>
      </c>
      <c r="B300">
        <f>Table1[[#This Row],[Case manager]]</f>
        <v>0</v>
      </c>
      <c r="C300">
        <f>Table1[[#This Row],[Ref No]]</f>
        <v>0</v>
      </c>
      <c r="D300">
        <f>Table1[[#This Row],[Name]]</f>
        <v>0</v>
      </c>
      <c r="E300" s="4" t="str">
        <f>'Placements 26'!F299</f>
        <v>-</v>
      </c>
      <c r="F300" s="4" t="e">
        <f t="shared" ca="1" si="25"/>
        <v>#VALUE!</v>
      </c>
      <c r="G300" s="4"/>
      <c r="H300" s="4"/>
      <c r="J300">
        <f>IF(Table3[[#This Row],[Placement Fee &amp; Variables]]&gt;0,0,1)</f>
        <v>1</v>
      </c>
      <c r="K300" s="4" t="e">
        <f>Table3[[#This Row],[Joining Date]]+180</f>
        <v>#VALUE!</v>
      </c>
      <c r="L300" t="e">
        <f t="shared" ca="1" si="26"/>
        <v>#VALUE!</v>
      </c>
      <c r="N300" t="e">
        <f ca="1">IF(Table3[[#This Row],[6M Stat]]="Claimable",1,0)</f>
        <v>#VALUE!</v>
      </c>
      <c r="O300" s="4" t="e">
        <f>Table3[[#This Row],[Joining Date]]+365</f>
        <v>#VALUE!</v>
      </c>
      <c r="Q300" t="e">
        <f t="shared" ca="1" si="24"/>
        <v>#VALUE!</v>
      </c>
      <c r="R300" t="e">
        <f ca="1">IF(Table3[[#This Row],[12 M Stat]]="Claimable",1,0)</f>
        <v>#VALUE!</v>
      </c>
      <c r="S300" t="e">
        <f ca="1">Table3[[#This Row],[Placement claim Highlight]]+Table3[[#This Row],[Highlight rule 6M]]+Table3[[#This Row],[Highlight rule 12 M]]</f>
        <v>#VALUE!</v>
      </c>
      <c r="T300" s="6">
        <f>SUM(Table3[[#This Row],[Placement Fee]:[Salary]])</f>
        <v>0</v>
      </c>
      <c r="U300" s="6"/>
      <c r="V300" s="6">
        <f>IF(Table1[[#This Row],[MoL]]="Yes",55,0)</f>
        <v>0</v>
      </c>
      <c r="W300" s="6">
        <f>IF(Table1[[#This Row],[Long MoL +3 Years]]="Yes",137.5,0)</f>
        <v>0</v>
      </c>
      <c r="X300" s="6">
        <f>IF(Table1[[#This Row],[Gender]]="Female",137.5,0)</f>
        <v>0</v>
      </c>
      <c r="Y300" s="6">
        <f>IF(Table1[[#This Row],[Education]]="Bachelors +",55,0)</f>
        <v>0</v>
      </c>
      <c r="Z300" s="6">
        <f>IF(Table1[[#This Row],[Salary]]&gt;=600,82.5,0)</f>
        <v>0</v>
      </c>
    </row>
    <row r="301" spans="1:26">
      <c r="A301" s="3">
        <f>Table1[[#This Row],[SL No.]]</f>
        <v>300</v>
      </c>
      <c r="B301">
        <f>Table1[[#This Row],[Case manager]]</f>
        <v>0</v>
      </c>
      <c r="C301">
        <f>Table1[[#This Row],[Ref No]]</f>
        <v>0</v>
      </c>
      <c r="D301">
        <f>Table1[[#This Row],[Name]]</f>
        <v>0</v>
      </c>
      <c r="E301" s="4" t="str">
        <f>'Placements 26'!F300</f>
        <v>-</v>
      </c>
      <c r="F301" s="4" t="e">
        <f t="shared" ca="1" si="25"/>
        <v>#VALUE!</v>
      </c>
      <c r="G301" s="4"/>
      <c r="H301" s="4"/>
      <c r="J301">
        <f>IF(Table3[[#This Row],[Placement Fee &amp; Variables]]&gt;0,0,1)</f>
        <v>1</v>
      </c>
      <c r="K301" s="4" t="e">
        <f>Table3[[#This Row],[Joining Date]]+180</f>
        <v>#VALUE!</v>
      </c>
      <c r="L301" t="e">
        <f t="shared" ca="1" si="26"/>
        <v>#VALUE!</v>
      </c>
      <c r="N301" t="e">
        <f ca="1">IF(Table3[[#This Row],[6M Stat]]="Claimable",1,0)</f>
        <v>#VALUE!</v>
      </c>
      <c r="O301" s="4" t="e">
        <f>Table3[[#This Row],[Joining Date]]+365</f>
        <v>#VALUE!</v>
      </c>
      <c r="Q301" t="e">
        <f t="shared" ca="1" si="24"/>
        <v>#VALUE!</v>
      </c>
      <c r="R301" t="e">
        <f ca="1">IF(Table3[[#This Row],[12 M Stat]]="Claimable",1,0)</f>
        <v>#VALUE!</v>
      </c>
      <c r="S301" t="e">
        <f ca="1">Table3[[#This Row],[Placement claim Highlight]]+Table3[[#This Row],[Highlight rule 6M]]+Table3[[#This Row],[Highlight rule 12 M]]</f>
        <v>#VALUE!</v>
      </c>
      <c r="T301" s="6">
        <f>SUM(Table3[[#This Row],[Placement Fee]:[Salary]])</f>
        <v>0</v>
      </c>
      <c r="U301" s="6"/>
      <c r="V301" s="6">
        <f>IF(Table1[[#This Row],[MoL]]="Yes",55,0)</f>
        <v>0</v>
      </c>
      <c r="W301" s="6">
        <f>IF(Table1[[#This Row],[Long MoL +3 Years]]="Yes",137.5,0)</f>
        <v>0</v>
      </c>
      <c r="X301" s="6">
        <f>IF(Table1[[#This Row],[Gender]]="Female",137.5,0)</f>
        <v>0</v>
      </c>
      <c r="Y301" s="6">
        <f>IF(Table1[[#This Row],[Education]]="Bachelors +",55,0)</f>
        <v>0</v>
      </c>
      <c r="Z301" s="6">
        <f>IF(Table1[[#This Row],[Salary]]&gt;=600,82.5,0)</f>
        <v>0</v>
      </c>
    </row>
    <row r="302" spans="1:26">
      <c r="A302" s="3">
        <f>Table1[[#This Row],[SL No.]]</f>
        <v>301</v>
      </c>
      <c r="B302">
        <f>Table1[[#This Row],[Case manager]]</f>
        <v>0</v>
      </c>
      <c r="C302">
        <f>Table1[[#This Row],[Ref No]]</f>
        <v>0</v>
      </c>
      <c r="D302">
        <f>Table1[[#This Row],[Name]]</f>
        <v>0</v>
      </c>
      <c r="E302" s="4" t="str">
        <f>'Placements 26'!F301</f>
        <v>-</v>
      </c>
      <c r="F302" s="4" t="e">
        <f t="shared" ca="1" si="25"/>
        <v>#VALUE!</v>
      </c>
      <c r="G302" s="4"/>
      <c r="H302" s="4"/>
      <c r="J302">
        <f>IF(Table3[[#This Row],[Placement Fee &amp; Variables]]&gt;0,0,1)</f>
        <v>1</v>
      </c>
      <c r="K302" s="4" t="e">
        <f>Table3[[#This Row],[Joining Date]]+180</f>
        <v>#VALUE!</v>
      </c>
      <c r="L302" t="e">
        <f t="shared" ca="1" si="26"/>
        <v>#VALUE!</v>
      </c>
      <c r="N302" t="e">
        <f ca="1">IF(Table3[[#This Row],[6M Stat]]="Claimable",1,0)</f>
        <v>#VALUE!</v>
      </c>
      <c r="O302" s="4" t="e">
        <f>Table3[[#This Row],[Joining Date]]+365</f>
        <v>#VALUE!</v>
      </c>
      <c r="Q302" t="e">
        <f t="shared" ca="1" si="24"/>
        <v>#VALUE!</v>
      </c>
      <c r="R302" t="e">
        <f ca="1">IF(Table3[[#This Row],[12 M Stat]]="Claimable",1,0)</f>
        <v>#VALUE!</v>
      </c>
      <c r="S302" t="e">
        <f ca="1">Table3[[#This Row],[Placement claim Highlight]]+Table3[[#This Row],[Highlight rule 6M]]+Table3[[#This Row],[Highlight rule 12 M]]</f>
        <v>#VALUE!</v>
      </c>
      <c r="T302" s="6">
        <f>SUM(Table3[[#This Row],[Placement Fee]:[Salary]])</f>
        <v>0</v>
      </c>
      <c r="U302" s="6"/>
      <c r="V302" s="6">
        <f>IF(Table1[[#This Row],[MoL]]="Yes",55,0)</f>
        <v>0</v>
      </c>
      <c r="W302" s="6">
        <f>IF(Table1[[#This Row],[Long MoL +3 Years]]="Yes",137.5,0)</f>
        <v>0</v>
      </c>
      <c r="X302" s="6">
        <f>IF(Table1[[#This Row],[Gender]]="Female",137.5,0)</f>
        <v>0</v>
      </c>
      <c r="Y302" s="6">
        <f>IF(Table1[[#This Row],[Education]]="Bachelors +",55,0)</f>
        <v>0</v>
      </c>
      <c r="Z302" s="6">
        <f>IF(Table1[[#This Row],[Salary]]&gt;=600,82.5,0)</f>
        <v>0</v>
      </c>
    </row>
    <row r="303" spans="1:26">
      <c r="A303" s="3">
        <f>Table1[[#This Row],[SL No.]]</f>
        <v>302</v>
      </c>
      <c r="B303">
        <f>Table1[[#This Row],[Case manager]]</f>
        <v>0</v>
      </c>
      <c r="C303">
        <f>Table1[[#This Row],[Ref No]]</f>
        <v>0</v>
      </c>
      <c r="D303">
        <f>Table1[[#This Row],[Name]]</f>
        <v>0</v>
      </c>
      <c r="E303" s="4" t="str">
        <f>'Placements 26'!F302</f>
        <v>-</v>
      </c>
      <c r="F303" s="4" t="e">
        <f t="shared" ca="1" si="25"/>
        <v>#VALUE!</v>
      </c>
      <c r="G303" s="4"/>
      <c r="H303" s="4"/>
      <c r="J303">
        <f>IF(Table3[[#This Row],[Placement Fee &amp; Variables]]&gt;0,0,1)</f>
        <v>1</v>
      </c>
      <c r="K303" s="4" t="e">
        <f>Table3[[#This Row],[Joining Date]]+180</f>
        <v>#VALUE!</v>
      </c>
      <c r="L303" t="e">
        <f t="shared" ca="1" si="26"/>
        <v>#VALUE!</v>
      </c>
      <c r="N303" t="e">
        <f ca="1">IF(Table3[[#This Row],[6M Stat]]="Claimable",1,0)</f>
        <v>#VALUE!</v>
      </c>
      <c r="O303" s="4" t="e">
        <f>Table3[[#This Row],[Joining Date]]+365</f>
        <v>#VALUE!</v>
      </c>
      <c r="Q303" t="e">
        <f t="shared" ca="1" si="24"/>
        <v>#VALUE!</v>
      </c>
      <c r="R303" t="e">
        <f ca="1">IF(Table3[[#This Row],[12 M Stat]]="Claimable",1,0)</f>
        <v>#VALUE!</v>
      </c>
      <c r="S303" t="e">
        <f ca="1">Table3[[#This Row],[Placement claim Highlight]]+Table3[[#This Row],[Highlight rule 6M]]+Table3[[#This Row],[Highlight rule 12 M]]</f>
        <v>#VALUE!</v>
      </c>
      <c r="T303" s="6">
        <f>SUM(Table3[[#This Row],[Placement Fee]:[Salary]])</f>
        <v>0</v>
      </c>
      <c r="U303" s="6"/>
      <c r="V303" s="6">
        <f>IF(Table1[[#This Row],[MoL]]="Yes",55,0)</f>
        <v>0</v>
      </c>
      <c r="W303" s="6">
        <f>IF(Table1[[#This Row],[Long MoL +3 Years]]="Yes",137.5,0)</f>
        <v>0</v>
      </c>
      <c r="X303" s="6">
        <f>IF(Table1[[#This Row],[Gender]]="Female",137.5,0)</f>
        <v>0</v>
      </c>
      <c r="Y303" s="6">
        <f>IF(Table1[[#This Row],[Education]]="Bachelors +",55,0)</f>
        <v>0</v>
      </c>
      <c r="Z303" s="6">
        <f>IF(Table1[[#This Row],[Salary]]&gt;=600,82.5,0)</f>
        <v>0</v>
      </c>
    </row>
    <row r="304" spans="1:26">
      <c r="A304" s="3">
        <f>Table1[[#This Row],[SL No.]]</f>
        <v>303</v>
      </c>
      <c r="B304">
        <f>Table1[[#This Row],[Case manager]]</f>
        <v>0</v>
      </c>
      <c r="C304">
        <f>Table1[[#This Row],[Ref No]]</f>
        <v>0</v>
      </c>
      <c r="D304">
        <f>Table1[[#This Row],[Name]]</f>
        <v>0</v>
      </c>
      <c r="E304" s="4" t="str">
        <f>'Placements 26'!F303</f>
        <v>-</v>
      </c>
      <c r="F304" s="4" t="e">
        <f t="shared" ca="1" si="25"/>
        <v>#VALUE!</v>
      </c>
      <c r="G304" s="4"/>
      <c r="H304" s="4"/>
      <c r="J304">
        <f>IF(Table3[[#This Row],[Placement Fee &amp; Variables]]&gt;0,0,1)</f>
        <v>1</v>
      </c>
      <c r="K304" s="4" t="e">
        <f>Table3[[#This Row],[Joining Date]]+180</f>
        <v>#VALUE!</v>
      </c>
      <c r="L304" t="e">
        <f t="shared" ca="1" si="26"/>
        <v>#VALUE!</v>
      </c>
      <c r="N304" t="e">
        <f ca="1">IF(Table3[[#This Row],[6M Stat]]="Claimable",1,0)</f>
        <v>#VALUE!</v>
      </c>
      <c r="O304" s="4" t="e">
        <f>Table3[[#This Row],[Joining Date]]+365</f>
        <v>#VALUE!</v>
      </c>
      <c r="Q304" t="e">
        <f t="shared" ca="1" si="24"/>
        <v>#VALUE!</v>
      </c>
      <c r="R304" t="e">
        <f ca="1">IF(Table3[[#This Row],[12 M Stat]]="Claimable",1,0)</f>
        <v>#VALUE!</v>
      </c>
      <c r="S304" t="e">
        <f ca="1">Table3[[#This Row],[Placement claim Highlight]]+Table3[[#This Row],[Highlight rule 6M]]+Table3[[#This Row],[Highlight rule 12 M]]</f>
        <v>#VALUE!</v>
      </c>
      <c r="T304" s="6">
        <f>SUM(Table3[[#This Row],[Placement Fee]:[Salary]])</f>
        <v>0</v>
      </c>
      <c r="U304" s="6"/>
      <c r="V304" s="6">
        <f>IF(Table1[[#This Row],[MoL]]="Yes",55,0)</f>
        <v>0</v>
      </c>
      <c r="W304" s="6">
        <f>IF(Table1[[#This Row],[Long MoL +3 Years]]="Yes",137.5,0)</f>
        <v>0</v>
      </c>
      <c r="X304" s="6">
        <f>IF(Table1[[#This Row],[Gender]]="Female",137.5,0)</f>
        <v>0</v>
      </c>
      <c r="Y304" s="6">
        <f>IF(Table1[[#This Row],[Education]]="Bachelors +",55,0)</f>
        <v>0</v>
      </c>
      <c r="Z304" s="6">
        <f>IF(Table1[[#This Row],[Salary]]&gt;=600,82.5,0)</f>
        <v>0</v>
      </c>
    </row>
    <row r="305" spans="1:26">
      <c r="A305" s="3">
        <f>Table1[[#This Row],[SL No.]]</f>
        <v>304</v>
      </c>
      <c r="B305">
        <f>Table1[[#This Row],[Case manager]]</f>
        <v>0</v>
      </c>
      <c r="C305">
        <f>Table1[[#This Row],[Ref No]]</f>
        <v>0</v>
      </c>
      <c r="D305">
        <f>Table1[[#This Row],[Name]]</f>
        <v>0</v>
      </c>
      <c r="E305" s="4" t="str">
        <f>'Placements 26'!F304</f>
        <v>-</v>
      </c>
      <c r="F305" s="4" t="e">
        <f t="shared" ca="1" si="25"/>
        <v>#VALUE!</v>
      </c>
      <c r="G305" s="4"/>
      <c r="H305" s="4"/>
      <c r="J305">
        <f>IF(Table3[[#This Row],[Placement Fee &amp; Variables]]&gt;0,0,1)</f>
        <v>1</v>
      </c>
      <c r="K305" s="4" t="e">
        <f>Table3[[#This Row],[Joining Date]]+180</f>
        <v>#VALUE!</v>
      </c>
      <c r="L305" t="e">
        <f t="shared" ca="1" si="26"/>
        <v>#VALUE!</v>
      </c>
      <c r="N305" t="e">
        <f ca="1">IF(Table3[[#This Row],[6M Stat]]="Claimable",1,0)</f>
        <v>#VALUE!</v>
      </c>
      <c r="O305" s="4" t="e">
        <f>Table3[[#This Row],[Joining Date]]+365</f>
        <v>#VALUE!</v>
      </c>
      <c r="Q305" t="e">
        <f t="shared" ca="1" si="24"/>
        <v>#VALUE!</v>
      </c>
      <c r="R305" t="e">
        <f ca="1">IF(Table3[[#This Row],[12 M Stat]]="Claimable",1,0)</f>
        <v>#VALUE!</v>
      </c>
      <c r="S305" t="e">
        <f ca="1">Table3[[#This Row],[Placement claim Highlight]]+Table3[[#This Row],[Highlight rule 6M]]+Table3[[#This Row],[Highlight rule 12 M]]</f>
        <v>#VALUE!</v>
      </c>
      <c r="T305" s="6">
        <f>SUM(Table3[[#This Row],[Placement Fee]:[Salary]])</f>
        <v>0</v>
      </c>
      <c r="U305" s="6"/>
      <c r="V305" s="6">
        <f>IF(Table1[[#This Row],[MoL]]="Yes",55,0)</f>
        <v>0</v>
      </c>
      <c r="W305" s="6">
        <f>IF(Table1[[#This Row],[Long MoL +3 Years]]="Yes",137.5,0)</f>
        <v>0</v>
      </c>
      <c r="X305" s="6">
        <f>IF(Table1[[#This Row],[Gender]]="Female",137.5,0)</f>
        <v>0</v>
      </c>
      <c r="Y305" s="6">
        <f>IF(Table1[[#This Row],[Education]]="Bachelors +",55,0)</f>
        <v>0</v>
      </c>
      <c r="Z305" s="6">
        <f>IF(Table1[[#This Row],[Salary]]&gt;=600,82.5,0)</f>
        <v>0</v>
      </c>
    </row>
    <row r="306" spans="1:26">
      <c r="A306" s="3">
        <f>Table1[[#This Row],[SL No.]]</f>
        <v>305</v>
      </c>
      <c r="B306">
        <f>Table1[[#This Row],[Case manager]]</f>
        <v>0</v>
      </c>
      <c r="C306">
        <f>Table1[[#This Row],[Ref No]]</f>
        <v>0</v>
      </c>
      <c r="D306">
        <f>Table1[[#This Row],[Name]]</f>
        <v>0</v>
      </c>
      <c r="E306" s="4" t="str">
        <f>'Placements 26'!F305</f>
        <v>-</v>
      </c>
      <c r="F306" s="4" t="e">
        <f t="shared" ca="1" si="25"/>
        <v>#VALUE!</v>
      </c>
      <c r="G306" s="4"/>
      <c r="H306" s="4"/>
      <c r="J306">
        <f>IF(Table3[[#This Row],[Placement Fee &amp; Variables]]&gt;0,0,1)</f>
        <v>1</v>
      </c>
      <c r="K306" s="4" t="e">
        <f>Table3[[#This Row],[Joining Date]]+180</f>
        <v>#VALUE!</v>
      </c>
      <c r="L306" t="e">
        <f t="shared" ca="1" si="26"/>
        <v>#VALUE!</v>
      </c>
      <c r="N306" t="e">
        <f ca="1">IF(Table3[[#This Row],[6M Stat]]="Claimable",1,0)</f>
        <v>#VALUE!</v>
      </c>
      <c r="O306" s="4" t="e">
        <f>Table3[[#This Row],[Joining Date]]+365</f>
        <v>#VALUE!</v>
      </c>
      <c r="Q306" t="e">
        <f t="shared" ca="1" si="24"/>
        <v>#VALUE!</v>
      </c>
      <c r="R306" t="e">
        <f ca="1">IF(Table3[[#This Row],[12 M Stat]]="Claimable",1,0)</f>
        <v>#VALUE!</v>
      </c>
      <c r="S306" t="e">
        <f ca="1">Table3[[#This Row],[Placement claim Highlight]]+Table3[[#This Row],[Highlight rule 6M]]+Table3[[#This Row],[Highlight rule 12 M]]</f>
        <v>#VALUE!</v>
      </c>
      <c r="T306" s="6">
        <f>SUM(Table3[[#This Row],[Placement Fee]:[Salary]])</f>
        <v>0</v>
      </c>
      <c r="U306" s="6"/>
      <c r="V306" s="6">
        <f>IF(Table1[[#This Row],[MoL]]="Yes",55,0)</f>
        <v>0</v>
      </c>
      <c r="W306" s="6">
        <f>IF(Table1[[#This Row],[Long MoL +3 Years]]="Yes",137.5,0)</f>
        <v>0</v>
      </c>
      <c r="X306" s="6">
        <f>IF(Table1[[#This Row],[Gender]]="Female",137.5,0)</f>
        <v>0</v>
      </c>
      <c r="Y306" s="6">
        <f>IF(Table1[[#This Row],[Education]]="Bachelors +",55,0)</f>
        <v>0</v>
      </c>
      <c r="Z306" s="6">
        <f>IF(Table1[[#This Row],[Salary]]&gt;=600,82.5,0)</f>
        <v>0</v>
      </c>
    </row>
    <row r="307" spans="1:26">
      <c r="A307" s="3">
        <f>Table1[[#This Row],[SL No.]]</f>
        <v>306</v>
      </c>
      <c r="B307">
        <f>Table1[[#This Row],[Case manager]]</f>
        <v>0</v>
      </c>
      <c r="C307">
        <f>Table1[[#This Row],[Ref No]]</f>
        <v>0</v>
      </c>
      <c r="D307">
        <f>Table1[[#This Row],[Name]]</f>
        <v>0</v>
      </c>
      <c r="E307" s="4" t="str">
        <f>'Placements 26'!F306</f>
        <v>-</v>
      </c>
      <c r="F307" s="4" t="e">
        <f t="shared" ca="1" si="25"/>
        <v>#VALUE!</v>
      </c>
      <c r="G307" s="4"/>
      <c r="H307" s="4"/>
      <c r="J307">
        <f>IF(Table3[[#This Row],[Placement Fee &amp; Variables]]&gt;0,0,1)</f>
        <v>1</v>
      </c>
      <c r="K307" s="4" t="e">
        <f>Table3[[#This Row],[Joining Date]]+180</f>
        <v>#VALUE!</v>
      </c>
      <c r="L307" t="e">
        <f t="shared" ca="1" si="26"/>
        <v>#VALUE!</v>
      </c>
      <c r="N307" t="e">
        <f ca="1">IF(Table3[[#This Row],[6M Stat]]="Claimable",1,0)</f>
        <v>#VALUE!</v>
      </c>
      <c r="O307" s="4" t="e">
        <f>Table3[[#This Row],[Joining Date]]+365</f>
        <v>#VALUE!</v>
      </c>
      <c r="Q307" t="e">
        <f t="shared" ca="1" si="24"/>
        <v>#VALUE!</v>
      </c>
      <c r="R307" t="e">
        <f ca="1">IF(Table3[[#This Row],[12 M Stat]]="Claimable",1,0)</f>
        <v>#VALUE!</v>
      </c>
      <c r="S307" t="e">
        <f ca="1">Table3[[#This Row],[Placement claim Highlight]]+Table3[[#This Row],[Highlight rule 6M]]+Table3[[#This Row],[Highlight rule 12 M]]</f>
        <v>#VALUE!</v>
      </c>
      <c r="T307" s="6">
        <f>SUM(Table3[[#This Row],[Placement Fee]:[Salary]])</f>
        <v>0</v>
      </c>
      <c r="U307" s="6"/>
      <c r="V307" s="6">
        <f>IF(Table1[[#This Row],[MoL]]="Yes",55,0)</f>
        <v>0</v>
      </c>
      <c r="W307" s="6">
        <f>IF(Table1[[#This Row],[Long MoL +3 Years]]="Yes",137.5,0)</f>
        <v>0</v>
      </c>
      <c r="X307" s="6">
        <f>IF(Table1[[#This Row],[Gender]]="Female",137.5,0)</f>
        <v>0</v>
      </c>
      <c r="Y307" s="6">
        <f>IF(Table1[[#This Row],[Education]]="Bachelors +",55,0)</f>
        <v>0</v>
      </c>
      <c r="Z307" s="6">
        <f>IF(Table1[[#This Row],[Salary]]&gt;=600,82.5,0)</f>
        <v>0</v>
      </c>
    </row>
    <row r="308" spans="1:26">
      <c r="A308" s="3">
        <f>Table1[[#This Row],[SL No.]]</f>
        <v>307</v>
      </c>
      <c r="B308">
        <f>Table1[[#This Row],[Case manager]]</f>
        <v>0</v>
      </c>
      <c r="C308">
        <f>Table1[[#This Row],[Ref No]]</f>
        <v>0</v>
      </c>
      <c r="D308">
        <f>Table1[[#This Row],[Name]]</f>
        <v>0</v>
      </c>
      <c r="E308" s="4" t="str">
        <f>'Placements 26'!F307</f>
        <v>-</v>
      </c>
      <c r="F308" s="4" t="e">
        <f t="shared" ca="1" si="25"/>
        <v>#VALUE!</v>
      </c>
      <c r="G308" s="4"/>
      <c r="H308" s="4"/>
      <c r="J308">
        <f>IF(Table3[[#This Row],[Placement Fee &amp; Variables]]&gt;0,0,1)</f>
        <v>1</v>
      </c>
      <c r="K308" s="4" t="e">
        <f>Table3[[#This Row],[Joining Date]]+180</f>
        <v>#VALUE!</v>
      </c>
      <c r="L308" t="e">
        <f t="shared" ca="1" si="26"/>
        <v>#VALUE!</v>
      </c>
      <c r="N308" t="e">
        <f ca="1">IF(Table3[[#This Row],[6M Stat]]="Claimable",1,0)</f>
        <v>#VALUE!</v>
      </c>
      <c r="O308" s="4" t="e">
        <f>Table3[[#This Row],[Joining Date]]+365</f>
        <v>#VALUE!</v>
      </c>
      <c r="Q308" t="e">
        <f t="shared" ca="1" si="24"/>
        <v>#VALUE!</v>
      </c>
      <c r="R308" t="e">
        <f ca="1">IF(Table3[[#This Row],[12 M Stat]]="Claimable",1,0)</f>
        <v>#VALUE!</v>
      </c>
      <c r="S308" t="e">
        <f ca="1">Table3[[#This Row],[Placement claim Highlight]]+Table3[[#This Row],[Highlight rule 6M]]+Table3[[#This Row],[Highlight rule 12 M]]</f>
        <v>#VALUE!</v>
      </c>
      <c r="T308" s="6">
        <f>SUM(Table3[[#This Row],[Placement Fee]:[Salary]])</f>
        <v>0</v>
      </c>
      <c r="U308" s="6"/>
      <c r="V308" s="6">
        <f>IF(Table1[[#This Row],[MoL]]="Yes",55,0)</f>
        <v>0</v>
      </c>
      <c r="W308" s="6">
        <f>IF(Table1[[#This Row],[Long MoL +3 Years]]="Yes",137.5,0)</f>
        <v>0</v>
      </c>
      <c r="X308" s="6">
        <f>IF(Table1[[#This Row],[Gender]]="Female",137.5,0)</f>
        <v>0</v>
      </c>
      <c r="Y308" s="6">
        <f>IF(Table1[[#This Row],[Education]]="Bachelors +",55,0)</f>
        <v>0</v>
      </c>
      <c r="Z308" s="6">
        <f>IF(Table1[[#This Row],[Salary]]&gt;=600,82.5,0)</f>
        <v>0</v>
      </c>
    </row>
    <row r="309" spans="1:26">
      <c r="A309" s="3">
        <f>Table1[[#This Row],[SL No.]]</f>
        <v>308</v>
      </c>
      <c r="B309">
        <f>Table1[[#This Row],[Case manager]]</f>
        <v>0</v>
      </c>
      <c r="C309">
        <f>Table1[[#This Row],[Ref No]]</f>
        <v>0</v>
      </c>
      <c r="D309">
        <f>Table1[[#This Row],[Name]]</f>
        <v>0</v>
      </c>
      <c r="E309" s="4" t="str">
        <f>'Placements 26'!F308</f>
        <v>-</v>
      </c>
      <c r="F309" s="4" t="e">
        <f t="shared" ca="1" si="25"/>
        <v>#VALUE!</v>
      </c>
      <c r="G309" s="4"/>
      <c r="H309" s="4"/>
      <c r="J309">
        <f>IF(Table3[[#This Row],[Placement Fee &amp; Variables]]&gt;0,0,1)</f>
        <v>1</v>
      </c>
      <c r="K309" s="4" t="e">
        <f>Table3[[#This Row],[Joining Date]]+180</f>
        <v>#VALUE!</v>
      </c>
      <c r="L309" t="e">
        <f t="shared" ca="1" si="26"/>
        <v>#VALUE!</v>
      </c>
      <c r="N309" t="e">
        <f ca="1">IF(Table3[[#This Row],[6M Stat]]="Claimable",1,0)</f>
        <v>#VALUE!</v>
      </c>
      <c r="O309" s="4" t="e">
        <f>Table3[[#This Row],[Joining Date]]+365</f>
        <v>#VALUE!</v>
      </c>
      <c r="Q309" t="e">
        <f t="shared" ca="1" si="24"/>
        <v>#VALUE!</v>
      </c>
      <c r="R309" t="e">
        <f ca="1">IF(Table3[[#This Row],[12 M Stat]]="Claimable",1,0)</f>
        <v>#VALUE!</v>
      </c>
      <c r="S309" t="e">
        <f ca="1">Table3[[#This Row],[Placement claim Highlight]]+Table3[[#This Row],[Highlight rule 6M]]+Table3[[#This Row],[Highlight rule 12 M]]</f>
        <v>#VALUE!</v>
      </c>
      <c r="T309" s="6">
        <f>SUM(Table3[[#This Row],[Placement Fee]:[Salary]])</f>
        <v>0</v>
      </c>
      <c r="U309" s="6"/>
      <c r="V309" s="6">
        <f>IF(Table1[[#This Row],[MoL]]="Yes",55,0)</f>
        <v>0</v>
      </c>
      <c r="W309" s="6">
        <f>IF(Table1[[#This Row],[Long MoL +3 Years]]="Yes",137.5,0)</f>
        <v>0</v>
      </c>
      <c r="X309" s="6">
        <f>IF(Table1[[#This Row],[Gender]]="Female",137.5,0)</f>
        <v>0</v>
      </c>
      <c r="Y309" s="6">
        <f>IF(Table1[[#This Row],[Education]]="Bachelors +",55,0)</f>
        <v>0</v>
      </c>
      <c r="Z309" s="6">
        <f>IF(Table1[[#This Row],[Salary]]&gt;=600,82.5,0)</f>
        <v>0</v>
      </c>
    </row>
    <row r="310" spans="1:26">
      <c r="A310" s="3">
        <f>Table1[[#This Row],[SL No.]]</f>
        <v>309</v>
      </c>
      <c r="B310">
        <f>Table1[[#This Row],[Case manager]]</f>
        <v>0</v>
      </c>
      <c r="C310">
        <f>Table1[[#This Row],[Ref No]]</f>
        <v>0</v>
      </c>
      <c r="D310">
        <f>Table1[[#This Row],[Name]]</f>
        <v>0</v>
      </c>
      <c r="E310" s="4" t="str">
        <f>'Placements 26'!F309</f>
        <v>-</v>
      </c>
      <c r="F310" s="4" t="e">
        <f t="shared" ca="1" si="25"/>
        <v>#VALUE!</v>
      </c>
      <c r="G310" s="4"/>
      <c r="H310" s="4"/>
      <c r="J310">
        <f>IF(Table3[[#This Row],[Placement Fee &amp; Variables]]&gt;0,0,1)</f>
        <v>1</v>
      </c>
      <c r="K310" s="4" t="e">
        <f>Table3[[#This Row],[Joining Date]]+180</f>
        <v>#VALUE!</v>
      </c>
      <c r="L310" t="e">
        <f t="shared" ca="1" si="26"/>
        <v>#VALUE!</v>
      </c>
      <c r="N310" t="e">
        <f ca="1">IF(Table3[[#This Row],[6M Stat]]="Claimable",1,0)</f>
        <v>#VALUE!</v>
      </c>
      <c r="O310" s="4" t="e">
        <f>Table3[[#This Row],[Joining Date]]+365</f>
        <v>#VALUE!</v>
      </c>
      <c r="Q310" t="e">
        <f t="shared" ca="1" si="24"/>
        <v>#VALUE!</v>
      </c>
      <c r="R310" t="e">
        <f ca="1">IF(Table3[[#This Row],[12 M Stat]]="Claimable",1,0)</f>
        <v>#VALUE!</v>
      </c>
      <c r="S310" t="e">
        <f ca="1">Table3[[#This Row],[Placement claim Highlight]]+Table3[[#This Row],[Highlight rule 6M]]+Table3[[#This Row],[Highlight rule 12 M]]</f>
        <v>#VALUE!</v>
      </c>
      <c r="T310" s="6">
        <f>SUM(Table3[[#This Row],[Placement Fee]:[Salary]])</f>
        <v>0</v>
      </c>
      <c r="U310" s="6"/>
      <c r="V310" s="6">
        <f>IF(Table1[[#This Row],[MoL]]="Yes",55,0)</f>
        <v>0</v>
      </c>
      <c r="W310" s="6">
        <f>IF(Table1[[#This Row],[Long MoL +3 Years]]="Yes",137.5,0)</f>
        <v>0</v>
      </c>
      <c r="X310" s="6">
        <f>IF(Table1[[#This Row],[Gender]]="Female",137.5,0)</f>
        <v>0</v>
      </c>
      <c r="Y310" s="6">
        <f>IF(Table1[[#This Row],[Education]]="Bachelors +",55,0)</f>
        <v>0</v>
      </c>
      <c r="Z310" s="6">
        <f>IF(Table1[[#This Row],[Salary]]&gt;=600,82.5,0)</f>
        <v>0</v>
      </c>
    </row>
    <row r="311" spans="1:26">
      <c r="A311" s="3">
        <f>Table1[[#This Row],[SL No.]]</f>
        <v>310</v>
      </c>
      <c r="B311">
        <f>Table1[[#This Row],[Case manager]]</f>
        <v>0</v>
      </c>
      <c r="C311">
        <f>Table1[[#This Row],[Ref No]]</f>
        <v>0</v>
      </c>
      <c r="D311">
        <f>Table1[[#This Row],[Name]]</f>
        <v>0</v>
      </c>
      <c r="E311" s="4" t="str">
        <f>'Placements 26'!F310</f>
        <v>-</v>
      </c>
      <c r="F311" s="4" t="e">
        <f t="shared" ca="1" si="25"/>
        <v>#VALUE!</v>
      </c>
      <c r="G311" s="4"/>
      <c r="H311" s="4"/>
      <c r="J311">
        <f>IF(Table3[[#This Row],[Placement Fee &amp; Variables]]&gt;0,0,1)</f>
        <v>1</v>
      </c>
      <c r="K311" s="4" t="e">
        <f>Table3[[#This Row],[Joining Date]]+180</f>
        <v>#VALUE!</v>
      </c>
      <c r="L311" t="e">
        <f t="shared" ca="1" si="26"/>
        <v>#VALUE!</v>
      </c>
      <c r="N311" t="e">
        <f ca="1">IF(Table3[[#This Row],[6M Stat]]="Claimable",1,0)</f>
        <v>#VALUE!</v>
      </c>
      <c r="O311" s="4" t="e">
        <f>Table3[[#This Row],[Joining Date]]+365</f>
        <v>#VALUE!</v>
      </c>
      <c r="Q311" t="e">
        <f t="shared" ca="1" si="24"/>
        <v>#VALUE!</v>
      </c>
      <c r="R311" t="e">
        <f ca="1">IF(Table3[[#This Row],[12 M Stat]]="Claimable",1,0)</f>
        <v>#VALUE!</v>
      </c>
      <c r="S311" t="e">
        <f ca="1">Table3[[#This Row],[Placement claim Highlight]]+Table3[[#This Row],[Highlight rule 6M]]+Table3[[#This Row],[Highlight rule 12 M]]</f>
        <v>#VALUE!</v>
      </c>
      <c r="T311" s="6">
        <f>SUM(Table3[[#This Row],[Placement Fee]:[Salary]])</f>
        <v>0</v>
      </c>
      <c r="U311" s="6"/>
      <c r="V311" s="6">
        <f>IF(Table1[[#This Row],[MoL]]="Yes",55,0)</f>
        <v>0</v>
      </c>
      <c r="W311" s="6">
        <f>IF(Table1[[#This Row],[Long MoL +3 Years]]="Yes",137.5,0)</f>
        <v>0</v>
      </c>
      <c r="X311" s="6">
        <f>IF(Table1[[#This Row],[Gender]]="Female",137.5,0)</f>
        <v>0</v>
      </c>
      <c r="Y311" s="6">
        <f>IF(Table1[[#This Row],[Education]]="Bachelors +",55,0)</f>
        <v>0</v>
      </c>
      <c r="Z311" s="6">
        <f>IF(Table1[[#This Row],[Salary]]&gt;=600,82.5,0)</f>
        <v>0</v>
      </c>
    </row>
    <row r="312" spans="1:26">
      <c r="A312" s="3">
        <f>Table1[[#This Row],[SL No.]]</f>
        <v>311</v>
      </c>
      <c r="B312">
        <f>Table1[[#This Row],[Case manager]]</f>
        <v>0</v>
      </c>
      <c r="C312">
        <f>Table1[[#This Row],[Ref No]]</f>
        <v>0</v>
      </c>
      <c r="D312">
        <f>Table1[[#This Row],[Name]]</f>
        <v>0</v>
      </c>
      <c r="E312" s="4" t="str">
        <f>'Placements 26'!F311</f>
        <v>-</v>
      </c>
      <c r="F312" s="4" t="e">
        <f t="shared" ca="1" si="25"/>
        <v>#VALUE!</v>
      </c>
      <c r="G312" s="4"/>
      <c r="H312" s="4"/>
      <c r="J312">
        <f>IF(Table3[[#This Row],[Placement Fee &amp; Variables]]&gt;0,0,1)</f>
        <v>1</v>
      </c>
      <c r="K312" s="4" t="e">
        <f>Table3[[#This Row],[Joining Date]]+180</f>
        <v>#VALUE!</v>
      </c>
      <c r="L312" t="e">
        <f t="shared" ca="1" si="26"/>
        <v>#VALUE!</v>
      </c>
      <c r="N312" t="e">
        <f ca="1">IF(Table3[[#This Row],[6M Stat]]="Claimable",1,0)</f>
        <v>#VALUE!</v>
      </c>
      <c r="O312" s="4" t="e">
        <f>Table3[[#This Row],[Joining Date]]+365</f>
        <v>#VALUE!</v>
      </c>
      <c r="Q312" t="e">
        <f t="shared" ca="1" si="24"/>
        <v>#VALUE!</v>
      </c>
      <c r="R312" t="e">
        <f ca="1">IF(Table3[[#This Row],[12 M Stat]]="Claimable",1,0)</f>
        <v>#VALUE!</v>
      </c>
      <c r="S312" t="e">
        <f ca="1">Table3[[#This Row],[Placement claim Highlight]]+Table3[[#This Row],[Highlight rule 6M]]+Table3[[#This Row],[Highlight rule 12 M]]</f>
        <v>#VALUE!</v>
      </c>
      <c r="T312" s="6">
        <f>SUM(Table3[[#This Row],[Placement Fee]:[Salary]])</f>
        <v>0</v>
      </c>
      <c r="U312" s="6"/>
      <c r="V312" s="6">
        <f>IF(Table1[[#This Row],[MoL]]="Yes",55,0)</f>
        <v>0</v>
      </c>
      <c r="W312" s="6">
        <f>IF(Table1[[#This Row],[Long MoL +3 Years]]="Yes",137.5,0)</f>
        <v>0</v>
      </c>
      <c r="X312" s="6">
        <f>IF(Table1[[#This Row],[Gender]]="Female",137.5,0)</f>
        <v>0</v>
      </c>
      <c r="Y312" s="6">
        <f>IF(Table1[[#This Row],[Education]]="Bachelors +",55,0)</f>
        <v>0</v>
      </c>
      <c r="Z312" s="6">
        <f>IF(Table1[[#This Row],[Salary]]&gt;=600,82.5,0)</f>
        <v>0</v>
      </c>
    </row>
    <row r="313" spans="1:26">
      <c r="A313" s="3">
        <f>Table1[[#This Row],[SL No.]]</f>
        <v>312</v>
      </c>
      <c r="B313">
        <f>Table1[[#This Row],[Case manager]]</f>
        <v>0</v>
      </c>
      <c r="C313">
        <f>Table1[[#This Row],[Ref No]]</f>
        <v>0</v>
      </c>
      <c r="D313">
        <f>Table1[[#This Row],[Name]]</f>
        <v>0</v>
      </c>
      <c r="E313" s="4" t="str">
        <f>'Placements 26'!F312</f>
        <v>-</v>
      </c>
      <c r="F313" s="4" t="e">
        <f t="shared" ca="1" si="25"/>
        <v>#VALUE!</v>
      </c>
      <c r="G313" s="4"/>
      <c r="H313" s="4"/>
      <c r="J313">
        <f>IF(Table3[[#This Row],[Placement Fee &amp; Variables]]&gt;0,0,1)</f>
        <v>1</v>
      </c>
      <c r="K313" s="4" t="e">
        <f>Table3[[#This Row],[Joining Date]]+180</f>
        <v>#VALUE!</v>
      </c>
      <c r="L313" t="e">
        <f t="shared" ca="1" si="26"/>
        <v>#VALUE!</v>
      </c>
      <c r="N313" t="e">
        <f ca="1">IF(Table3[[#This Row],[6M Stat]]="Claimable",1,0)</f>
        <v>#VALUE!</v>
      </c>
      <c r="O313" s="4" t="e">
        <f>Table3[[#This Row],[Joining Date]]+365</f>
        <v>#VALUE!</v>
      </c>
      <c r="Q313" t="e">
        <f t="shared" ca="1" si="24"/>
        <v>#VALUE!</v>
      </c>
      <c r="R313" t="e">
        <f ca="1">IF(Table3[[#This Row],[12 M Stat]]="Claimable",1,0)</f>
        <v>#VALUE!</v>
      </c>
      <c r="S313" t="e">
        <f ca="1">Table3[[#This Row],[Placement claim Highlight]]+Table3[[#This Row],[Highlight rule 6M]]+Table3[[#This Row],[Highlight rule 12 M]]</f>
        <v>#VALUE!</v>
      </c>
      <c r="T313" s="6">
        <f>SUM(Table3[[#This Row],[Placement Fee]:[Salary]])</f>
        <v>0</v>
      </c>
      <c r="U313" s="6"/>
      <c r="V313" s="6">
        <f>IF(Table1[[#This Row],[MoL]]="Yes",55,0)</f>
        <v>0</v>
      </c>
      <c r="W313" s="6">
        <f>IF(Table1[[#This Row],[Long MoL +3 Years]]="Yes",137.5,0)</f>
        <v>0</v>
      </c>
      <c r="X313" s="6">
        <f>IF(Table1[[#This Row],[Gender]]="Female",137.5,0)</f>
        <v>0</v>
      </c>
      <c r="Y313" s="6">
        <f>IF(Table1[[#This Row],[Education]]="Bachelors +",55,0)</f>
        <v>0</v>
      </c>
      <c r="Z313" s="6">
        <f>IF(Table1[[#This Row],[Salary]]&gt;=600,82.5,0)</f>
        <v>0</v>
      </c>
    </row>
    <row r="314" spans="1:26">
      <c r="A314" s="3">
        <f>Table1[[#This Row],[SL No.]]</f>
        <v>313</v>
      </c>
      <c r="B314">
        <f>Table1[[#This Row],[Case manager]]</f>
        <v>0</v>
      </c>
      <c r="C314">
        <f>Table1[[#This Row],[Ref No]]</f>
        <v>0</v>
      </c>
      <c r="D314">
        <f>Table1[[#This Row],[Name]]</f>
        <v>0</v>
      </c>
      <c r="E314" s="4" t="str">
        <f>'Placements 26'!F313</f>
        <v>-</v>
      </c>
      <c r="F314" s="4" t="e">
        <f t="shared" ca="1" si="25"/>
        <v>#VALUE!</v>
      </c>
      <c r="G314" s="4"/>
      <c r="H314" s="4"/>
      <c r="J314">
        <f>IF(Table3[[#This Row],[Placement Fee &amp; Variables]]&gt;0,0,1)</f>
        <v>1</v>
      </c>
      <c r="K314" s="4" t="e">
        <f>Table3[[#This Row],[Joining Date]]+180</f>
        <v>#VALUE!</v>
      </c>
      <c r="L314" t="e">
        <f t="shared" ca="1" si="26"/>
        <v>#VALUE!</v>
      </c>
      <c r="N314" t="e">
        <f ca="1">IF(Table3[[#This Row],[6M Stat]]="Claimable",1,0)</f>
        <v>#VALUE!</v>
      </c>
      <c r="O314" s="4" t="e">
        <f>Table3[[#This Row],[Joining Date]]+365</f>
        <v>#VALUE!</v>
      </c>
      <c r="Q314" t="e">
        <f t="shared" ca="1" si="24"/>
        <v>#VALUE!</v>
      </c>
      <c r="R314" t="e">
        <f ca="1">IF(Table3[[#This Row],[12 M Stat]]="Claimable",1,0)</f>
        <v>#VALUE!</v>
      </c>
      <c r="S314" t="e">
        <f ca="1">Table3[[#This Row],[Placement claim Highlight]]+Table3[[#This Row],[Highlight rule 6M]]+Table3[[#This Row],[Highlight rule 12 M]]</f>
        <v>#VALUE!</v>
      </c>
      <c r="T314" s="6">
        <f>SUM(Table3[[#This Row],[Placement Fee]:[Salary]])</f>
        <v>0</v>
      </c>
      <c r="U314" s="6"/>
      <c r="V314" s="6">
        <f>IF(Table1[[#This Row],[MoL]]="Yes",55,0)</f>
        <v>0</v>
      </c>
      <c r="W314" s="6">
        <f>IF(Table1[[#This Row],[Long MoL +3 Years]]="Yes",137.5,0)</f>
        <v>0</v>
      </c>
      <c r="X314" s="6">
        <f>IF(Table1[[#This Row],[Gender]]="Female",137.5,0)</f>
        <v>0</v>
      </c>
      <c r="Y314" s="6">
        <f>IF(Table1[[#This Row],[Education]]="Bachelors +",55,0)</f>
        <v>0</v>
      </c>
      <c r="Z314" s="6">
        <f>IF(Table1[[#This Row],[Salary]]&gt;=600,82.5,0)</f>
        <v>0</v>
      </c>
    </row>
    <row r="315" spans="1:26">
      <c r="A315" s="3">
        <f>Table1[[#This Row],[SL No.]]</f>
        <v>314</v>
      </c>
      <c r="B315">
        <f>Table1[[#This Row],[Case manager]]</f>
        <v>0</v>
      </c>
      <c r="C315">
        <f>Table1[[#This Row],[Ref No]]</f>
        <v>0</v>
      </c>
      <c r="D315">
        <f>Table1[[#This Row],[Name]]</f>
        <v>0</v>
      </c>
      <c r="E315" s="4" t="str">
        <f>'Placements 26'!F314</f>
        <v>-</v>
      </c>
      <c r="F315" s="4" t="e">
        <f t="shared" ca="1" si="25"/>
        <v>#VALUE!</v>
      </c>
      <c r="G315" s="4"/>
      <c r="H315" s="4"/>
      <c r="J315">
        <f>IF(Table3[[#This Row],[Placement Fee &amp; Variables]]&gt;0,0,1)</f>
        <v>1</v>
      </c>
      <c r="K315" s="4" t="e">
        <f>Table3[[#This Row],[Joining Date]]+180</f>
        <v>#VALUE!</v>
      </c>
      <c r="L315" t="e">
        <f t="shared" ca="1" si="26"/>
        <v>#VALUE!</v>
      </c>
      <c r="N315" t="e">
        <f ca="1">IF(Table3[[#This Row],[6M Stat]]="Claimable",1,0)</f>
        <v>#VALUE!</v>
      </c>
      <c r="O315" s="4" t="e">
        <f>Table3[[#This Row],[Joining Date]]+365</f>
        <v>#VALUE!</v>
      </c>
      <c r="Q315" t="e">
        <f t="shared" ca="1" si="24"/>
        <v>#VALUE!</v>
      </c>
      <c r="R315" t="e">
        <f ca="1">IF(Table3[[#This Row],[12 M Stat]]="Claimable",1,0)</f>
        <v>#VALUE!</v>
      </c>
      <c r="S315" t="e">
        <f ca="1">Table3[[#This Row],[Placement claim Highlight]]+Table3[[#This Row],[Highlight rule 6M]]+Table3[[#This Row],[Highlight rule 12 M]]</f>
        <v>#VALUE!</v>
      </c>
      <c r="T315" s="6">
        <f>SUM(Table3[[#This Row],[Placement Fee]:[Salary]])</f>
        <v>0</v>
      </c>
      <c r="U315" s="6"/>
      <c r="V315" s="6">
        <f>IF(Table1[[#This Row],[MoL]]="Yes",55,0)</f>
        <v>0</v>
      </c>
      <c r="W315" s="6">
        <f>IF(Table1[[#This Row],[Long MoL +3 Years]]="Yes",137.5,0)</f>
        <v>0</v>
      </c>
      <c r="X315" s="6">
        <f>IF(Table1[[#This Row],[Gender]]="Female",137.5,0)</f>
        <v>0</v>
      </c>
      <c r="Y315" s="6">
        <f>IF(Table1[[#This Row],[Education]]="Bachelors +",55,0)</f>
        <v>0</v>
      </c>
      <c r="Z315" s="6">
        <f>IF(Table1[[#This Row],[Salary]]&gt;=600,82.5,0)</f>
        <v>0</v>
      </c>
    </row>
    <row r="316" spans="1:26">
      <c r="A316" s="3">
        <f>Table1[[#This Row],[SL No.]]</f>
        <v>315</v>
      </c>
      <c r="B316">
        <f>Table1[[#This Row],[Case manager]]</f>
        <v>0</v>
      </c>
      <c r="C316">
        <f>Table1[[#This Row],[Ref No]]</f>
        <v>0</v>
      </c>
      <c r="D316">
        <f>Table1[[#This Row],[Name]]</f>
        <v>0</v>
      </c>
      <c r="E316" s="4" t="str">
        <f>'Placements 26'!F315</f>
        <v>-</v>
      </c>
      <c r="F316" s="4" t="e">
        <f t="shared" ca="1" si="25"/>
        <v>#VALUE!</v>
      </c>
      <c r="G316" s="4"/>
      <c r="H316" s="4"/>
      <c r="J316">
        <f>IF(Table3[[#This Row],[Placement Fee &amp; Variables]]&gt;0,0,1)</f>
        <v>1</v>
      </c>
      <c r="K316" s="4" t="e">
        <f>Table3[[#This Row],[Joining Date]]+180</f>
        <v>#VALUE!</v>
      </c>
      <c r="L316" t="e">
        <f t="shared" ca="1" si="26"/>
        <v>#VALUE!</v>
      </c>
      <c r="N316" t="e">
        <f ca="1">IF(Table3[[#This Row],[6M Stat]]="Claimable",1,0)</f>
        <v>#VALUE!</v>
      </c>
      <c r="O316" s="4" t="e">
        <f>Table3[[#This Row],[Joining Date]]+365</f>
        <v>#VALUE!</v>
      </c>
      <c r="Q316" t="e">
        <f t="shared" ca="1" si="24"/>
        <v>#VALUE!</v>
      </c>
      <c r="R316" t="e">
        <f ca="1">IF(Table3[[#This Row],[12 M Stat]]="Claimable",1,0)</f>
        <v>#VALUE!</v>
      </c>
      <c r="S316" t="e">
        <f ca="1">Table3[[#This Row],[Placement claim Highlight]]+Table3[[#This Row],[Highlight rule 6M]]+Table3[[#This Row],[Highlight rule 12 M]]</f>
        <v>#VALUE!</v>
      </c>
      <c r="T316" s="6">
        <f>SUM(Table3[[#This Row],[Placement Fee]:[Salary]])</f>
        <v>0</v>
      </c>
      <c r="U316" s="6"/>
      <c r="V316" s="6">
        <f>IF(Table1[[#This Row],[MoL]]="Yes",55,0)</f>
        <v>0</v>
      </c>
      <c r="W316" s="6">
        <f>IF(Table1[[#This Row],[Long MoL +3 Years]]="Yes",137.5,0)</f>
        <v>0</v>
      </c>
      <c r="X316" s="6">
        <f>IF(Table1[[#This Row],[Gender]]="Female",137.5,0)</f>
        <v>0</v>
      </c>
      <c r="Y316" s="6">
        <f>IF(Table1[[#This Row],[Education]]="Bachelors +",55,0)</f>
        <v>0</v>
      </c>
      <c r="Z316" s="6">
        <f>IF(Table1[[#This Row],[Salary]]&gt;=600,82.5,0)</f>
        <v>0</v>
      </c>
    </row>
    <row r="317" spans="1:26">
      <c r="A317" s="3">
        <f>Table1[[#This Row],[SL No.]]</f>
        <v>316</v>
      </c>
      <c r="B317">
        <f>Table1[[#This Row],[Case manager]]</f>
        <v>0</v>
      </c>
      <c r="C317">
        <f>Table1[[#This Row],[Ref No]]</f>
        <v>0</v>
      </c>
      <c r="D317">
        <f>Table1[[#This Row],[Name]]</f>
        <v>0</v>
      </c>
      <c r="E317" s="4" t="str">
        <f>'Placements 26'!F316</f>
        <v>-</v>
      </c>
      <c r="F317" s="4" t="e">
        <f t="shared" ca="1" si="25"/>
        <v>#VALUE!</v>
      </c>
      <c r="G317" s="4"/>
      <c r="H317" s="4"/>
      <c r="J317">
        <f>IF(Table3[[#This Row],[Placement Fee &amp; Variables]]&gt;0,0,1)</f>
        <v>1</v>
      </c>
      <c r="K317" s="4" t="e">
        <f>Table3[[#This Row],[Joining Date]]+180</f>
        <v>#VALUE!</v>
      </c>
      <c r="L317" t="e">
        <f t="shared" ca="1" si="26"/>
        <v>#VALUE!</v>
      </c>
      <c r="N317" t="e">
        <f ca="1">IF(Table3[[#This Row],[6M Stat]]="Claimable",1,0)</f>
        <v>#VALUE!</v>
      </c>
      <c r="O317" s="4" t="e">
        <f>Table3[[#This Row],[Joining Date]]+365</f>
        <v>#VALUE!</v>
      </c>
      <c r="Q317" t="e">
        <f t="shared" ca="1" si="24"/>
        <v>#VALUE!</v>
      </c>
      <c r="R317" t="e">
        <f ca="1">IF(Table3[[#This Row],[12 M Stat]]="Claimable",1,0)</f>
        <v>#VALUE!</v>
      </c>
      <c r="S317" t="e">
        <f ca="1">Table3[[#This Row],[Placement claim Highlight]]+Table3[[#This Row],[Highlight rule 6M]]+Table3[[#This Row],[Highlight rule 12 M]]</f>
        <v>#VALUE!</v>
      </c>
      <c r="T317" s="6">
        <f>SUM(Table3[[#This Row],[Placement Fee]:[Salary]])</f>
        <v>0</v>
      </c>
      <c r="U317" s="6"/>
      <c r="V317" s="6">
        <f>IF(Table1[[#This Row],[MoL]]="Yes",55,0)</f>
        <v>0</v>
      </c>
      <c r="W317" s="6">
        <f>IF(Table1[[#This Row],[Long MoL +3 Years]]="Yes",137.5,0)</f>
        <v>0</v>
      </c>
      <c r="X317" s="6">
        <f>IF(Table1[[#This Row],[Gender]]="Female",137.5,0)</f>
        <v>0</v>
      </c>
      <c r="Y317" s="6">
        <f>IF(Table1[[#This Row],[Education]]="Bachelors +",55,0)</f>
        <v>0</v>
      </c>
      <c r="Z317" s="6">
        <f>IF(Table1[[#This Row],[Salary]]&gt;=600,82.5,0)</f>
        <v>0</v>
      </c>
    </row>
    <row r="318" spans="1:26">
      <c r="A318" s="3">
        <f>Table1[[#This Row],[SL No.]]</f>
        <v>317</v>
      </c>
      <c r="B318">
        <f>Table1[[#This Row],[Case manager]]</f>
        <v>0</v>
      </c>
      <c r="C318">
        <f>Table1[[#This Row],[Ref No]]</f>
        <v>0</v>
      </c>
      <c r="D318">
        <f>Table1[[#This Row],[Name]]</f>
        <v>0</v>
      </c>
      <c r="E318" s="4" t="str">
        <f>'Placements 26'!F317</f>
        <v>-</v>
      </c>
      <c r="F318" s="4" t="e">
        <f t="shared" ca="1" si="25"/>
        <v>#VALUE!</v>
      </c>
      <c r="G318" s="4"/>
      <c r="H318" s="4"/>
      <c r="J318">
        <f>IF(Table3[[#This Row],[Placement Fee &amp; Variables]]&gt;0,0,1)</f>
        <v>1</v>
      </c>
      <c r="K318" s="4" t="e">
        <f>Table3[[#This Row],[Joining Date]]+180</f>
        <v>#VALUE!</v>
      </c>
      <c r="L318" t="e">
        <f t="shared" ca="1" si="26"/>
        <v>#VALUE!</v>
      </c>
      <c r="N318" t="e">
        <f ca="1">IF(Table3[[#This Row],[6M Stat]]="Claimable",1,0)</f>
        <v>#VALUE!</v>
      </c>
      <c r="O318" s="4" t="e">
        <f>Table3[[#This Row],[Joining Date]]+365</f>
        <v>#VALUE!</v>
      </c>
      <c r="Q318" t="e">
        <f t="shared" ca="1" si="24"/>
        <v>#VALUE!</v>
      </c>
      <c r="R318" t="e">
        <f ca="1">IF(Table3[[#This Row],[12 M Stat]]="Claimable",1,0)</f>
        <v>#VALUE!</v>
      </c>
      <c r="S318" t="e">
        <f ca="1">Table3[[#This Row],[Placement claim Highlight]]+Table3[[#This Row],[Highlight rule 6M]]+Table3[[#This Row],[Highlight rule 12 M]]</f>
        <v>#VALUE!</v>
      </c>
      <c r="T318" s="6">
        <f>SUM(Table3[[#This Row],[Placement Fee]:[Salary]])</f>
        <v>0</v>
      </c>
      <c r="U318" s="6"/>
      <c r="V318" s="6">
        <f>IF(Table1[[#This Row],[MoL]]="Yes",55,0)</f>
        <v>0</v>
      </c>
      <c r="W318" s="6">
        <f>IF(Table1[[#This Row],[Long MoL +3 Years]]="Yes",137.5,0)</f>
        <v>0</v>
      </c>
      <c r="X318" s="6">
        <f>IF(Table1[[#This Row],[Gender]]="Female",137.5,0)</f>
        <v>0</v>
      </c>
      <c r="Y318" s="6">
        <f>IF(Table1[[#This Row],[Education]]="Bachelors +",55,0)</f>
        <v>0</v>
      </c>
      <c r="Z318" s="6">
        <f>IF(Table1[[#This Row],[Salary]]&gt;=600,82.5,0)</f>
        <v>0</v>
      </c>
    </row>
    <row r="319" spans="1:26">
      <c r="A319" s="3">
        <f>Table1[[#This Row],[SL No.]]</f>
        <v>318</v>
      </c>
      <c r="B319">
        <f>Table1[[#This Row],[Case manager]]</f>
        <v>0</v>
      </c>
      <c r="C319">
        <f>Table1[[#This Row],[Ref No]]</f>
        <v>0</v>
      </c>
      <c r="D319">
        <f>Table1[[#This Row],[Name]]</f>
        <v>0</v>
      </c>
      <c r="E319" s="4" t="str">
        <f>'Placements 26'!F318</f>
        <v>-</v>
      </c>
      <c r="F319" s="4" t="e">
        <f t="shared" ca="1" si="25"/>
        <v>#VALUE!</v>
      </c>
      <c r="G319" s="4"/>
      <c r="H319" s="4"/>
      <c r="J319">
        <f>IF(Table3[[#This Row],[Placement Fee &amp; Variables]]&gt;0,0,1)</f>
        <v>1</v>
      </c>
      <c r="K319" s="4" t="e">
        <f>Table3[[#This Row],[Joining Date]]+180</f>
        <v>#VALUE!</v>
      </c>
      <c r="L319" t="e">
        <f t="shared" ca="1" si="26"/>
        <v>#VALUE!</v>
      </c>
      <c r="N319" t="e">
        <f ca="1">IF(Table3[[#This Row],[6M Stat]]="Claimable",1,0)</f>
        <v>#VALUE!</v>
      </c>
      <c r="O319" s="4" t="e">
        <f>Table3[[#This Row],[Joining Date]]+365</f>
        <v>#VALUE!</v>
      </c>
      <c r="Q319" t="e">
        <f t="shared" ca="1" si="24"/>
        <v>#VALUE!</v>
      </c>
      <c r="R319" t="e">
        <f ca="1">IF(Table3[[#This Row],[12 M Stat]]="Claimable",1,0)</f>
        <v>#VALUE!</v>
      </c>
      <c r="S319" t="e">
        <f ca="1">Table3[[#This Row],[Placement claim Highlight]]+Table3[[#This Row],[Highlight rule 6M]]+Table3[[#This Row],[Highlight rule 12 M]]</f>
        <v>#VALUE!</v>
      </c>
      <c r="T319" s="6">
        <f>SUM(Table3[[#This Row],[Placement Fee]:[Salary]])</f>
        <v>0</v>
      </c>
      <c r="U319" s="6"/>
      <c r="V319" s="6">
        <f>IF(Table1[[#This Row],[MoL]]="Yes",55,0)</f>
        <v>0</v>
      </c>
      <c r="W319" s="6">
        <f>IF(Table1[[#This Row],[Long MoL +3 Years]]="Yes",137.5,0)</f>
        <v>0</v>
      </c>
      <c r="X319" s="6">
        <f>IF(Table1[[#This Row],[Gender]]="Female",137.5,0)</f>
        <v>0</v>
      </c>
      <c r="Y319" s="6">
        <f>IF(Table1[[#This Row],[Education]]="Bachelors +",55,0)</f>
        <v>0</v>
      </c>
      <c r="Z319" s="6">
        <f>IF(Table1[[#This Row],[Salary]]&gt;=600,82.5,0)</f>
        <v>0</v>
      </c>
    </row>
    <row r="320" spans="1:26">
      <c r="A320" s="3">
        <f>Table1[[#This Row],[SL No.]]</f>
        <v>319</v>
      </c>
      <c r="B320">
        <f>Table1[[#This Row],[Case manager]]</f>
        <v>0</v>
      </c>
      <c r="C320">
        <f>Table1[[#This Row],[Ref No]]</f>
        <v>0</v>
      </c>
      <c r="D320">
        <f>Table1[[#This Row],[Name]]</f>
        <v>0</v>
      </c>
      <c r="E320" s="4" t="str">
        <f>'Placements 26'!F319</f>
        <v>-</v>
      </c>
      <c r="F320" s="4" t="e">
        <f t="shared" ca="1" si="25"/>
        <v>#VALUE!</v>
      </c>
      <c r="G320" s="4"/>
      <c r="H320" s="4"/>
      <c r="J320">
        <f>IF(Table3[[#This Row],[Placement Fee &amp; Variables]]&gt;0,0,1)</f>
        <v>1</v>
      </c>
      <c r="K320" s="4" t="e">
        <f>Table3[[#This Row],[Joining Date]]+180</f>
        <v>#VALUE!</v>
      </c>
      <c r="L320" t="e">
        <f t="shared" ca="1" si="26"/>
        <v>#VALUE!</v>
      </c>
      <c r="N320" t="e">
        <f ca="1">IF(Table3[[#This Row],[6M Stat]]="Claimable",1,0)</f>
        <v>#VALUE!</v>
      </c>
      <c r="O320" s="4" t="e">
        <f>Table3[[#This Row],[Joining Date]]+365</f>
        <v>#VALUE!</v>
      </c>
      <c r="Q320" t="e">
        <f t="shared" ca="1" si="24"/>
        <v>#VALUE!</v>
      </c>
      <c r="R320" t="e">
        <f ca="1">IF(Table3[[#This Row],[12 M Stat]]="Claimable",1,0)</f>
        <v>#VALUE!</v>
      </c>
      <c r="S320" t="e">
        <f ca="1">Table3[[#This Row],[Placement claim Highlight]]+Table3[[#This Row],[Highlight rule 6M]]+Table3[[#This Row],[Highlight rule 12 M]]</f>
        <v>#VALUE!</v>
      </c>
      <c r="T320" s="6">
        <f>SUM(Table3[[#This Row],[Placement Fee]:[Salary]])</f>
        <v>0</v>
      </c>
      <c r="U320" s="6"/>
      <c r="V320" s="6">
        <f>IF(Table1[[#This Row],[MoL]]="Yes",55,0)</f>
        <v>0</v>
      </c>
      <c r="W320" s="6">
        <f>IF(Table1[[#This Row],[Long MoL +3 Years]]="Yes",137.5,0)</f>
        <v>0</v>
      </c>
      <c r="X320" s="6">
        <f>IF(Table1[[#This Row],[Gender]]="Female",137.5,0)</f>
        <v>0</v>
      </c>
      <c r="Y320" s="6">
        <f>IF(Table1[[#This Row],[Education]]="Bachelors +",55,0)</f>
        <v>0</v>
      </c>
      <c r="Z320" s="6">
        <f>IF(Table1[[#This Row],[Salary]]&gt;=600,82.5,0)</f>
        <v>0</v>
      </c>
    </row>
    <row r="321" spans="1:26">
      <c r="A321" s="3">
        <f>Table1[[#This Row],[SL No.]]</f>
        <v>320</v>
      </c>
      <c r="B321">
        <f>Table1[[#This Row],[Case manager]]</f>
        <v>0</v>
      </c>
      <c r="C321">
        <f>Table1[[#This Row],[Ref No]]</f>
        <v>0</v>
      </c>
      <c r="D321">
        <f>Table1[[#This Row],[Name]]</f>
        <v>0</v>
      </c>
      <c r="E321" s="4" t="str">
        <f>'Placements 26'!F320</f>
        <v>-</v>
      </c>
      <c r="F321" s="4" t="e">
        <f t="shared" ca="1" si="25"/>
        <v>#VALUE!</v>
      </c>
      <c r="G321" s="4"/>
      <c r="H321" s="4"/>
      <c r="J321">
        <f>IF(Table3[[#This Row],[Placement Fee &amp; Variables]]&gt;0,0,1)</f>
        <v>1</v>
      </c>
      <c r="K321" s="4" t="e">
        <f>Table3[[#This Row],[Joining Date]]+180</f>
        <v>#VALUE!</v>
      </c>
      <c r="L321" t="e">
        <f t="shared" ca="1" si="26"/>
        <v>#VALUE!</v>
      </c>
      <c r="N321" t="e">
        <f ca="1">IF(Table3[[#This Row],[6M Stat]]="Claimable",1,0)</f>
        <v>#VALUE!</v>
      </c>
      <c r="O321" s="4" t="e">
        <f>Table3[[#This Row],[Joining Date]]+365</f>
        <v>#VALUE!</v>
      </c>
      <c r="Q321" t="e">
        <f t="shared" ca="1" si="24"/>
        <v>#VALUE!</v>
      </c>
      <c r="R321" t="e">
        <f ca="1">IF(Table3[[#This Row],[12 M Stat]]="Claimable",1,0)</f>
        <v>#VALUE!</v>
      </c>
      <c r="S321" t="e">
        <f ca="1">Table3[[#This Row],[Placement claim Highlight]]+Table3[[#This Row],[Highlight rule 6M]]+Table3[[#This Row],[Highlight rule 12 M]]</f>
        <v>#VALUE!</v>
      </c>
      <c r="T321" s="6">
        <f>SUM(Table3[[#This Row],[Placement Fee]:[Salary]])</f>
        <v>0</v>
      </c>
      <c r="U321" s="6"/>
      <c r="V321" s="6">
        <f>IF(Table1[[#This Row],[MoL]]="Yes",55,0)</f>
        <v>0</v>
      </c>
      <c r="W321" s="6">
        <f>IF(Table1[[#This Row],[Long MoL +3 Years]]="Yes",137.5,0)</f>
        <v>0</v>
      </c>
      <c r="X321" s="6">
        <f>IF(Table1[[#This Row],[Gender]]="Female",137.5,0)</f>
        <v>0</v>
      </c>
      <c r="Y321" s="6">
        <f>IF(Table1[[#This Row],[Education]]="Bachelors +",55,0)</f>
        <v>0</v>
      </c>
      <c r="Z321" s="6">
        <f>IF(Table1[[#This Row],[Salary]]&gt;=600,82.5,0)</f>
        <v>0</v>
      </c>
    </row>
    <row r="322" spans="1:26">
      <c r="A322" s="3">
        <f>Table1[[#This Row],[SL No.]]</f>
        <v>321</v>
      </c>
      <c r="B322">
        <f>Table1[[#This Row],[Case manager]]</f>
        <v>0</v>
      </c>
      <c r="C322">
        <f>Table1[[#This Row],[Ref No]]</f>
        <v>0</v>
      </c>
      <c r="D322">
        <f>Table1[[#This Row],[Name]]</f>
        <v>0</v>
      </c>
      <c r="E322" s="4" t="str">
        <f>'Placements 26'!F321</f>
        <v>-</v>
      </c>
      <c r="F322" s="4" t="e">
        <f t="shared" ca="1" si="25"/>
        <v>#VALUE!</v>
      </c>
      <c r="G322" s="4"/>
      <c r="H322" s="4"/>
      <c r="J322">
        <f>IF(Table3[[#This Row],[Placement Fee &amp; Variables]]&gt;0,0,1)</f>
        <v>1</v>
      </c>
      <c r="K322" s="4" t="e">
        <f>Table3[[#This Row],[Joining Date]]+180</f>
        <v>#VALUE!</v>
      </c>
      <c r="L322" t="e">
        <f t="shared" ca="1" si="26"/>
        <v>#VALUE!</v>
      </c>
      <c r="N322" t="e">
        <f ca="1">IF(Table3[[#This Row],[6M Stat]]="Claimable",1,0)</f>
        <v>#VALUE!</v>
      </c>
      <c r="O322" s="4" t="e">
        <f>Table3[[#This Row],[Joining Date]]+365</f>
        <v>#VALUE!</v>
      </c>
      <c r="Q322" t="e">
        <f t="shared" ca="1" si="24"/>
        <v>#VALUE!</v>
      </c>
      <c r="R322" t="e">
        <f ca="1">IF(Table3[[#This Row],[12 M Stat]]="Claimable",1,0)</f>
        <v>#VALUE!</v>
      </c>
      <c r="S322" t="e">
        <f ca="1">Table3[[#This Row],[Placement claim Highlight]]+Table3[[#This Row],[Highlight rule 6M]]+Table3[[#This Row],[Highlight rule 12 M]]</f>
        <v>#VALUE!</v>
      </c>
      <c r="T322" s="6">
        <f>SUM(Table3[[#This Row],[Placement Fee]:[Salary]])</f>
        <v>0</v>
      </c>
      <c r="U322" s="6"/>
      <c r="V322" s="6">
        <f>IF(Table1[[#This Row],[MoL]]="Yes",55,0)</f>
        <v>0</v>
      </c>
      <c r="W322" s="6">
        <f>IF(Table1[[#This Row],[Long MoL +3 Years]]="Yes",137.5,0)</f>
        <v>0</v>
      </c>
      <c r="X322" s="6">
        <f>IF(Table1[[#This Row],[Gender]]="Female",137.5,0)</f>
        <v>0</v>
      </c>
      <c r="Y322" s="6">
        <f>IF(Table1[[#This Row],[Education]]="Bachelors +",55,0)</f>
        <v>0</v>
      </c>
      <c r="Z322" s="6">
        <f>IF(Table1[[#This Row],[Salary]]&gt;=600,82.5,0)</f>
        <v>0</v>
      </c>
    </row>
    <row r="323" spans="1:26">
      <c r="A323" s="3">
        <f>Table1[[#This Row],[SL No.]]</f>
        <v>322</v>
      </c>
      <c r="B323">
        <f>Table1[[#This Row],[Case manager]]</f>
        <v>0</v>
      </c>
      <c r="C323">
        <f>Table1[[#This Row],[Ref No]]</f>
        <v>0</v>
      </c>
      <c r="D323">
        <f>Table1[[#This Row],[Name]]</f>
        <v>0</v>
      </c>
      <c r="E323" s="4" t="str">
        <f>'Placements 26'!F322</f>
        <v>-</v>
      </c>
      <c r="F323" s="4" t="e">
        <f t="shared" ca="1" si="25"/>
        <v>#VALUE!</v>
      </c>
      <c r="G323" s="4"/>
      <c r="H323" s="4"/>
      <c r="J323">
        <f>IF(Table3[[#This Row],[Placement Fee &amp; Variables]]&gt;0,0,1)</f>
        <v>1</v>
      </c>
      <c r="K323" s="4" t="e">
        <f>Table3[[#This Row],[Joining Date]]+180</f>
        <v>#VALUE!</v>
      </c>
      <c r="L323" t="e">
        <f t="shared" ca="1" si="26"/>
        <v>#VALUE!</v>
      </c>
      <c r="N323" t="e">
        <f ca="1">IF(Table3[[#This Row],[6M Stat]]="Claimable",1,0)</f>
        <v>#VALUE!</v>
      </c>
      <c r="O323" s="4" t="e">
        <f>Table3[[#This Row],[Joining Date]]+365</f>
        <v>#VALUE!</v>
      </c>
      <c r="Q323" t="e">
        <f t="shared" ref="Q323:Q350" ca="1" si="27">IF(AND(P323="", O323&lt;=TODAY()), "Claimable", "")</f>
        <v>#VALUE!</v>
      </c>
      <c r="R323" t="e">
        <f ca="1">IF(Table3[[#This Row],[12 M Stat]]="Claimable",1,0)</f>
        <v>#VALUE!</v>
      </c>
      <c r="S323" t="e">
        <f ca="1">Table3[[#This Row],[Placement claim Highlight]]+Table3[[#This Row],[Highlight rule 6M]]+Table3[[#This Row],[Highlight rule 12 M]]</f>
        <v>#VALUE!</v>
      </c>
      <c r="T323" s="6">
        <f>SUM(Table3[[#This Row],[Placement Fee]:[Salary]])</f>
        <v>0</v>
      </c>
      <c r="U323" s="6"/>
      <c r="V323" s="6">
        <f>IF(Table1[[#This Row],[MoL]]="Yes",55,0)</f>
        <v>0</v>
      </c>
      <c r="W323" s="6">
        <f>IF(Table1[[#This Row],[Long MoL +3 Years]]="Yes",137.5,0)</f>
        <v>0</v>
      </c>
      <c r="X323" s="6">
        <f>IF(Table1[[#This Row],[Gender]]="Female",137.5,0)</f>
        <v>0</v>
      </c>
      <c r="Y323" s="6">
        <f>IF(Table1[[#This Row],[Education]]="Bachelors +",55,0)</f>
        <v>0</v>
      </c>
      <c r="Z323" s="6">
        <f>IF(Table1[[#This Row],[Salary]]&gt;=600,82.5,0)</f>
        <v>0</v>
      </c>
    </row>
    <row r="324" spans="1:26">
      <c r="A324" s="3">
        <f>Table1[[#This Row],[SL No.]]</f>
        <v>323</v>
      </c>
      <c r="B324">
        <f>Table1[[#This Row],[Case manager]]</f>
        <v>0</v>
      </c>
      <c r="C324">
        <f>Table1[[#This Row],[Ref No]]</f>
        <v>0</v>
      </c>
      <c r="D324">
        <f>Table1[[#This Row],[Name]]</f>
        <v>0</v>
      </c>
      <c r="E324" s="4" t="str">
        <f>'Placements 26'!F323</f>
        <v>-</v>
      </c>
      <c r="F324" s="4" t="e">
        <f t="shared" ca="1" si="25"/>
        <v>#VALUE!</v>
      </c>
      <c r="G324" s="4"/>
      <c r="H324" s="4"/>
      <c r="J324">
        <f>IF(Table3[[#This Row],[Placement Fee &amp; Variables]]&gt;0,0,1)</f>
        <v>1</v>
      </c>
      <c r="K324" s="4" t="e">
        <f>Table3[[#This Row],[Joining Date]]+180</f>
        <v>#VALUE!</v>
      </c>
      <c r="L324" t="e">
        <f t="shared" ca="1" si="26"/>
        <v>#VALUE!</v>
      </c>
      <c r="N324" t="e">
        <f ca="1">IF(Table3[[#This Row],[6M Stat]]="Claimable",1,0)</f>
        <v>#VALUE!</v>
      </c>
      <c r="O324" s="4" t="e">
        <f>Table3[[#This Row],[Joining Date]]+365</f>
        <v>#VALUE!</v>
      </c>
      <c r="Q324" t="e">
        <f t="shared" ca="1" si="27"/>
        <v>#VALUE!</v>
      </c>
      <c r="R324" t="e">
        <f ca="1">IF(Table3[[#This Row],[12 M Stat]]="Claimable",1,0)</f>
        <v>#VALUE!</v>
      </c>
      <c r="S324" t="e">
        <f ca="1">Table3[[#This Row],[Placement claim Highlight]]+Table3[[#This Row],[Highlight rule 6M]]+Table3[[#This Row],[Highlight rule 12 M]]</f>
        <v>#VALUE!</v>
      </c>
      <c r="T324" s="6">
        <f>SUM(Table3[[#This Row],[Placement Fee]:[Salary]])</f>
        <v>0</v>
      </c>
      <c r="U324" s="6"/>
      <c r="V324" s="6">
        <f>IF(Table1[[#This Row],[MoL]]="Yes",55,0)</f>
        <v>0</v>
      </c>
      <c r="W324" s="6">
        <f>IF(Table1[[#This Row],[Long MoL +3 Years]]="Yes",137.5,0)</f>
        <v>0</v>
      </c>
      <c r="X324" s="6">
        <f>IF(Table1[[#This Row],[Gender]]="Female",137.5,0)</f>
        <v>0</v>
      </c>
      <c r="Y324" s="6">
        <f>IF(Table1[[#This Row],[Education]]="Bachelors +",55,0)</f>
        <v>0</v>
      </c>
      <c r="Z324" s="6">
        <f>IF(Table1[[#This Row],[Salary]]&gt;=600,82.5,0)</f>
        <v>0</v>
      </c>
    </row>
    <row r="325" spans="1:26">
      <c r="A325" s="3">
        <f>Table1[[#This Row],[SL No.]]</f>
        <v>324</v>
      </c>
      <c r="B325">
        <f>Table1[[#This Row],[Case manager]]</f>
        <v>0</v>
      </c>
      <c r="C325">
        <f>Table1[[#This Row],[Ref No]]</f>
        <v>0</v>
      </c>
      <c r="D325">
        <f>Table1[[#This Row],[Name]]</f>
        <v>0</v>
      </c>
      <c r="E325" s="4" t="str">
        <f>'Placements 26'!F324</f>
        <v>-</v>
      </c>
      <c r="F325" s="4" t="e">
        <f t="shared" ca="1" si="25"/>
        <v>#VALUE!</v>
      </c>
      <c r="G325" s="4"/>
      <c r="H325" s="4"/>
      <c r="J325">
        <f>IF(Table3[[#This Row],[Placement Fee &amp; Variables]]&gt;0,0,1)</f>
        <v>1</v>
      </c>
      <c r="K325" s="4" t="e">
        <f>Table3[[#This Row],[Joining Date]]+180</f>
        <v>#VALUE!</v>
      </c>
      <c r="L325" t="e">
        <f t="shared" ca="1" si="26"/>
        <v>#VALUE!</v>
      </c>
      <c r="N325" t="e">
        <f ca="1">IF(Table3[[#This Row],[6M Stat]]="Claimable",1,0)</f>
        <v>#VALUE!</v>
      </c>
      <c r="O325" s="4" t="e">
        <f>Table3[[#This Row],[Joining Date]]+365</f>
        <v>#VALUE!</v>
      </c>
      <c r="Q325" t="e">
        <f t="shared" ca="1" si="27"/>
        <v>#VALUE!</v>
      </c>
      <c r="R325" t="e">
        <f ca="1">IF(Table3[[#This Row],[12 M Stat]]="Claimable",1,0)</f>
        <v>#VALUE!</v>
      </c>
      <c r="S325" t="e">
        <f ca="1">Table3[[#This Row],[Placement claim Highlight]]+Table3[[#This Row],[Highlight rule 6M]]+Table3[[#This Row],[Highlight rule 12 M]]</f>
        <v>#VALUE!</v>
      </c>
      <c r="T325" s="6">
        <f>SUM(Table3[[#This Row],[Placement Fee]:[Salary]])</f>
        <v>0</v>
      </c>
      <c r="U325" s="6"/>
      <c r="V325" s="6">
        <f>IF(Table1[[#This Row],[MoL]]="Yes",55,0)</f>
        <v>0</v>
      </c>
      <c r="W325" s="6">
        <f>IF(Table1[[#This Row],[Long MoL +3 Years]]="Yes",137.5,0)</f>
        <v>0</v>
      </c>
      <c r="X325" s="6">
        <f>IF(Table1[[#This Row],[Gender]]="Female",137.5,0)</f>
        <v>0</v>
      </c>
      <c r="Y325" s="6">
        <f>IF(Table1[[#This Row],[Education]]="Bachelors +",55,0)</f>
        <v>0</v>
      </c>
      <c r="Z325" s="6">
        <f>IF(Table1[[#This Row],[Salary]]&gt;=600,82.5,0)</f>
        <v>0</v>
      </c>
    </row>
    <row r="326" spans="1:26">
      <c r="A326" s="3">
        <f>Table1[[#This Row],[SL No.]]</f>
        <v>325</v>
      </c>
      <c r="B326">
        <f>Table1[[#This Row],[Case manager]]</f>
        <v>0</v>
      </c>
      <c r="C326">
        <f>Table1[[#This Row],[Ref No]]</f>
        <v>0</v>
      </c>
      <c r="D326">
        <f>Table1[[#This Row],[Name]]</f>
        <v>0</v>
      </c>
      <c r="E326" s="4" t="str">
        <f>'Placements 26'!F325</f>
        <v>-</v>
      </c>
      <c r="F326" s="4" t="e">
        <f t="shared" ca="1" si="25"/>
        <v>#VALUE!</v>
      </c>
      <c r="G326" s="4"/>
      <c r="H326" s="4"/>
      <c r="J326">
        <f>IF(Table3[[#This Row],[Placement Fee &amp; Variables]]&gt;0,0,1)</f>
        <v>1</v>
      </c>
      <c r="K326" s="4" t="e">
        <f>Table3[[#This Row],[Joining Date]]+180</f>
        <v>#VALUE!</v>
      </c>
      <c r="L326" t="e">
        <f t="shared" ca="1" si="26"/>
        <v>#VALUE!</v>
      </c>
      <c r="N326" t="e">
        <f ca="1">IF(Table3[[#This Row],[6M Stat]]="Claimable",1,0)</f>
        <v>#VALUE!</v>
      </c>
      <c r="O326" s="4" t="e">
        <f>Table3[[#This Row],[Joining Date]]+365</f>
        <v>#VALUE!</v>
      </c>
      <c r="Q326" t="e">
        <f t="shared" ca="1" si="27"/>
        <v>#VALUE!</v>
      </c>
      <c r="R326" t="e">
        <f ca="1">IF(Table3[[#This Row],[12 M Stat]]="Claimable",1,0)</f>
        <v>#VALUE!</v>
      </c>
      <c r="S326" t="e">
        <f ca="1">Table3[[#This Row],[Placement claim Highlight]]+Table3[[#This Row],[Highlight rule 6M]]+Table3[[#This Row],[Highlight rule 12 M]]</f>
        <v>#VALUE!</v>
      </c>
      <c r="T326" s="6">
        <f>SUM(Table3[[#This Row],[Placement Fee]:[Salary]])</f>
        <v>0</v>
      </c>
      <c r="U326" s="6"/>
      <c r="V326" s="6">
        <f>IF(Table1[[#This Row],[MoL]]="Yes",55,0)</f>
        <v>0</v>
      </c>
      <c r="W326" s="6">
        <f>IF(Table1[[#This Row],[Long MoL +3 Years]]="Yes",137.5,0)</f>
        <v>0</v>
      </c>
      <c r="X326" s="6">
        <f>IF(Table1[[#This Row],[Gender]]="Female",137.5,0)</f>
        <v>0</v>
      </c>
      <c r="Y326" s="6">
        <f>IF(Table1[[#This Row],[Education]]="Bachelors +",55,0)</f>
        <v>0</v>
      </c>
      <c r="Z326" s="6">
        <f>IF(Table1[[#This Row],[Salary]]&gt;=600,82.5,0)</f>
        <v>0</v>
      </c>
    </row>
    <row r="327" spans="1:26">
      <c r="A327" s="3">
        <f>Table1[[#This Row],[SL No.]]</f>
        <v>326</v>
      </c>
      <c r="B327">
        <f>Table1[[#This Row],[Case manager]]</f>
        <v>0</v>
      </c>
      <c r="C327">
        <f>Table1[[#This Row],[Ref No]]</f>
        <v>0</v>
      </c>
      <c r="D327">
        <f>Table1[[#This Row],[Name]]</f>
        <v>0</v>
      </c>
      <c r="E327" s="4" t="str">
        <f>'Placements 26'!F326</f>
        <v>-</v>
      </c>
      <c r="F327" s="4" t="e">
        <f t="shared" ca="1" si="25"/>
        <v>#VALUE!</v>
      </c>
      <c r="G327" s="4"/>
      <c r="H327" s="4"/>
      <c r="J327">
        <f>IF(Table3[[#This Row],[Placement Fee &amp; Variables]]&gt;0,0,1)</f>
        <v>1</v>
      </c>
      <c r="K327" s="4" t="e">
        <f>Table3[[#This Row],[Joining Date]]+180</f>
        <v>#VALUE!</v>
      </c>
      <c r="L327" t="e">
        <f t="shared" ca="1" si="26"/>
        <v>#VALUE!</v>
      </c>
      <c r="N327" t="e">
        <f ca="1">IF(Table3[[#This Row],[6M Stat]]="Claimable",1,0)</f>
        <v>#VALUE!</v>
      </c>
      <c r="O327" s="4" t="e">
        <f>Table3[[#This Row],[Joining Date]]+365</f>
        <v>#VALUE!</v>
      </c>
      <c r="Q327" t="e">
        <f t="shared" ca="1" si="27"/>
        <v>#VALUE!</v>
      </c>
      <c r="R327" t="e">
        <f ca="1">IF(Table3[[#This Row],[12 M Stat]]="Claimable",1,0)</f>
        <v>#VALUE!</v>
      </c>
      <c r="S327" t="e">
        <f ca="1">Table3[[#This Row],[Placement claim Highlight]]+Table3[[#This Row],[Highlight rule 6M]]+Table3[[#This Row],[Highlight rule 12 M]]</f>
        <v>#VALUE!</v>
      </c>
      <c r="T327" s="6">
        <f>SUM(Table3[[#This Row],[Placement Fee]:[Salary]])</f>
        <v>0</v>
      </c>
      <c r="U327" s="6"/>
      <c r="V327" s="6">
        <f>IF(Table1[[#This Row],[MoL]]="Yes",55,0)</f>
        <v>0</v>
      </c>
      <c r="W327" s="6">
        <f>IF(Table1[[#This Row],[Long MoL +3 Years]]="Yes",137.5,0)</f>
        <v>0</v>
      </c>
      <c r="X327" s="6">
        <f>IF(Table1[[#This Row],[Gender]]="Female",137.5,0)</f>
        <v>0</v>
      </c>
      <c r="Y327" s="6">
        <f>IF(Table1[[#This Row],[Education]]="Bachelors +",55,0)</f>
        <v>0</v>
      </c>
      <c r="Z327" s="6">
        <f>IF(Table1[[#This Row],[Salary]]&gt;=600,82.5,0)</f>
        <v>0</v>
      </c>
    </row>
    <row r="328" spans="1:26">
      <c r="A328" s="3">
        <f>Table1[[#This Row],[SL No.]]</f>
        <v>327</v>
      </c>
      <c r="B328">
        <f>Table1[[#This Row],[Case manager]]</f>
        <v>0</v>
      </c>
      <c r="C328">
        <f>Table1[[#This Row],[Ref No]]</f>
        <v>0</v>
      </c>
      <c r="D328">
        <f>Table1[[#This Row],[Name]]</f>
        <v>0</v>
      </c>
      <c r="E328" s="4" t="str">
        <f>'Placements 26'!F327</f>
        <v>-</v>
      </c>
      <c r="F328" s="4" t="e">
        <f t="shared" ca="1" si="25"/>
        <v>#VALUE!</v>
      </c>
      <c r="G328" s="4"/>
      <c r="H328" s="4"/>
      <c r="J328">
        <f>IF(Table3[[#This Row],[Placement Fee &amp; Variables]]&gt;0,0,1)</f>
        <v>1</v>
      </c>
      <c r="K328" s="4" t="e">
        <f>Table3[[#This Row],[Joining Date]]+180</f>
        <v>#VALUE!</v>
      </c>
      <c r="L328" t="e">
        <f t="shared" ca="1" si="26"/>
        <v>#VALUE!</v>
      </c>
      <c r="N328" t="e">
        <f ca="1">IF(Table3[[#This Row],[6M Stat]]="Claimable",1,0)</f>
        <v>#VALUE!</v>
      </c>
      <c r="O328" s="4" t="e">
        <f>Table3[[#This Row],[Joining Date]]+365</f>
        <v>#VALUE!</v>
      </c>
      <c r="Q328" t="e">
        <f t="shared" ca="1" si="27"/>
        <v>#VALUE!</v>
      </c>
      <c r="R328" t="e">
        <f ca="1">IF(Table3[[#This Row],[12 M Stat]]="Claimable",1,0)</f>
        <v>#VALUE!</v>
      </c>
      <c r="S328" t="e">
        <f ca="1">Table3[[#This Row],[Placement claim Highlight]]+Table3[[#This Row],[Highlight rule 6M]]+Table3[[#This Row],[Highlight rule 12 M]]</f>
        <v>#VALUE!</v>
      </c>
      <c r="T328" s="6">
        <f>SUM(Table3[[#This Row],[Placement Fee]:[Salary]])</f>
        <v>0</v>
      </c>
      <c r="U328" s="6"/>
      <c r="V328" s="6">
        <f>IF(Table1[[#This Row],[MoL]]="Yes",55,0)</f>
        <v>0</v>
      </c>
      <c r="W328" s="6">
        <f>IF(Table1[[#This Row],[Long MoL +3 Years]]="Yes",137.5,0)</f>
        <v>0</v>
      </c>
      <c r="X328" s="6">
        <f>IF(Table1[[#This Row],[Gender]]="Female",137.5,0)</f>
        <v>0</v>
      </c>
      <c r="Y328" s="6">
        <f>IF(Table1[[#This Row],[Education]]="Bachelors +",55,0)</f>
        <v>0</v>
      </c>
      <c r="Z328" s="6">
        <f>IF(Table1[[#This Row],[Salary]]&gt;=600,82.5,0)</f>
        <v>0</v>
      </c>
    </row>
    <row r="329" spans="1:26">
      <c r="A329" s="3">
        <f>Table1[[#This Row],[SL No.]]</f>
        <v>328</v>
      </c>
      <c r="B329">
        <f>Table1[[#This Row],[Case manager]]</f>
        <v>0</v>
      </c>
      <c r="C329">
        <f>Table1[[#This Row],[Ref No]]</f>
        <v>0</v>
      </c>
      <c r="D329">
        <f>Table1[[#This Row],[Name]]</f>
        <v>0</v>
      </c>
      <c r="E329" s="4" t="str">
        <f>'Placements 26'!F328</f>
        <v>-</v>
      </c>
      <c r="F329" s="4" t="e">
        <f t="shared" ca="1" si="25"/>
        <v>#VALUE!</v>
      </c>
      <c r="G329" s="4"/>
      <c r="H329" s="4"/>
      <c r="J329">
        <f>IF(Table3[[#This Row],[Placement Fee &amp; Variables]]&gt;0,0,1)</f>
        <v>1</v>
      </c>
      <c r="K329" s="4" t="e">
        <f>Table3[[#This Row],[Joining Date]]+180</f>
        <v>#VALUE!</v>
      </c>
      <c r="L329" t="e">
        <f t="shared" ca="1" si="26"/>
        <v>#VALUE!</v>
      </c>
      <c r="N329" t="e">
        <f ca="1">IF(Table3[[#This Row],[6M Stat]]="Claimable",1,0)</f>
        <v>#VALUE!</v>
      </c>
      <c r="O329" s="4" t="e">
        <f>Table3[[#This Row],[Joining Date]]+365</f>
        <v>#VALUE!</v>
      </c>
      <c r="Q329" t="e">
        <f t="shared" ca="1" si="27"/>
        <v>#VALUE!</v>
      </c>
      <c r="R329" t="e">
        <f ca="1">IF(Table3[[#This Row],[12 M Stat]]="Claimable",1,0)</f>
        <v>#VALUE!</v>
      </c>
      <c r="S329" t="e">
        <f ca="1">Table3[[#This Row],[Placement claim Highlight]]+Table3[[#This Row],[Highlight rule 6M]]+Table3[[#This Row],[Highlight rule 12 M]]</f>
        <v>#VALUE!</v>
      </c>
      <c r="T329" s="6">
        <f>SUM(Table3[[#This Row],[Placement Fee]:[Salary]])</f>
        <v>0</v>
      </c>
      <c r="U329" s="6"/>
      <c r="V329" s="6">
        <f>IF(Table1[[#This Row],[MoL]]="Yes",55,0)</f>
        <v>0</v>
      </c>
      <c r="W329" s="6">
        <f>IF(Table1[[#This Row],[Long MoL +3 Years]]="Yes",137.5,0)</f>
        <v>0</v>
      </c>
      <c r="X329" s="6">
        <f>IF(Table1[[#This Row],[Gender]]="Female",137.5,0)</f>
        <v>0</v>
      </c>
      <c r="Y329" s="6">
        <f>IF(Table1[[#This Row],[Education]]="Bachelors +",55,0)</f>
        <v>0</v>
      </c>
      <c r="Z329" s="6">
        <f>IF(Table1[[#This Row],[Salary]]&gt;=600,82.5,0)</f>
        <v>0</v>
      </c>
    </row>
    <row r="330" spans="1:26">
      <c r="A330" s="3">
        <f>Table1[[#This Row],[SL No.]]</f>
        <v>329</v>
      </c>
      <c r="B330">
        <f>Table1[[#This Row],[Case manager]]</f>
        <v>0</v>
      </c>
      <c r="C330">
        <f>Table1[[#This Row],[Ref No]]</f>
        <v>0</v>
      </c>
      <c r="D330">
        <f>Table1[[#This Row],[Name]]</f>
        <v>0</v>
      </c>
      <c r="E330" s="4" t="str">
        <f>'Placements 26'!F329</f>
        <v>-</v>
      </c>
      <c r="F330" s="4" t="e">
        <f t="shared" ca="1" si="25"/>
        <v>#VALUE!</v>
      </c>
      <c r="G330" s="4"/>
      <c r="H330" s="4"/>
      <c r="J330">
        <f>IF(Table3[[#This Row],[Placement Fee &amp; Variables]]&gt;0,0,1)</f>
        <v>1</v>
      </c>
      <c r="K330" s="4" t="e">
        <f>Table3[[#This Row],[Joining Date]]+180</f>
        <v>#VALUE!</v>
      </c>
      <c r="L330" t="e">
        <f t="shared" ca="1" si="26"/>
        <v>#VALUE!</v>
      </c>
      <c r="N330" t="e">
        <f ca="1">IF(Table3[[#This Row],[6M Stat]]="Claimable",1,0)</f>
        <v>#VALUE!</v>
      </c>
      <c r="O330" s="4" t="e">
        <f>Table3[[#This Row],[Joining Date]]+365</f>
        <v>#VALUE!</v>
      </c>
      <c r="Q330" t="e">
        <f t="shared" ca="1" si="27"/>
        <v>#VALUE!</v>
      </c>
      <c r="R330" t="e">
        <f ca="1">IF(Table3[[#This Row],[12 M Stat]]="Claimable",1,0)</f>
        <v>#VALUE!</v>
      </c>
      <c r="S330" t="e">
        <f ca="1">Table3[[#This Row],[Placement claim Highlight]]+Table3[[#This Row],[Highlight rule 6M]]+Table3[[#This Row],[Highlight rule 12 M]]</f>
        <v>#VALUE!</v>
      </c>
      <c r="T330" s="6">
        <f>SUM(Table3[[#This Row],[Placement Fee]:[Salary]])</f>
        <v>0</v>
      </c>
      <c r="U330" s="6"/>
      <c r="V330" s="6">
        <f>IF(Table1[[#This Row],[MoL]]="Yes",55,0)</f>
        <v>0</v>
      </c>
      <c r="W330" s="6">
        <f>IF(Table1[[#This Row],[Long MoL +3 Years]]="Yes",137.5,0)</f>
        <v>0</v>
      </c>
      <c r="X330" s="6">
        <f>IF(Table1[[#This Row],[Gender]]="Female",137.5,0)</f>
        <v>0</v>
      </c>
      <c r="Y330" s="6">
        <f>IF(Table1[[#This Row],[Education]]="Bachelors +",55,0)</f>
        <v>0</v>
      </c>
      <c r="Z330" s="6">
        <f>IF(Table1[[#This Row],[Salary]]&gt;=600,82.5,0)</f>
        <v>0</v>
      </c>
    </row>
    <row r="331" spans="1:26">
      <c r="A331" s="3">
        <f>Table1[[#This Row],[SL No.]]</f>
        <v>330</v>
      </c>
      <c r="B331">
        <f>Table1[[#This Row],[Case manager]]</f>
        <v>0</v>
      </c>
      <c r="C331">
        <f>Table1[[#This Row],[Ref No]]</f>
        <v>0</v>
      </c>
      <c r="D331">
        <f>Table1[[#This Row],[Name]]</f>
        <v>0</v>
      </c>
      <c r="E331" s="4" t="str">
        <f>'Placements 26'!F330</f>
        <v>-</v>
      </c>
      <c r="F331" s="4" t="e">
        <f t="shared" ca="1" si="25"/>
        <v>#VALUE!</v>
      </c>
      <c r="G331" s="4"/>
      <c r="H331" s="4"/>
      <c r="J331">
        <f>IF(Table3[[#This Row],[Placement Fee &amp; Variables]]&gt;0,0,1)</f>
        <v>1</v>
      </c>
      <c r="K331" s="4" t="e">
        <f>Table3[[#This Row],[Joining Date]]+180</f>
        <v>#VALUE!</v>
      </c>
      <c r="L331" t="e">
        <f t="shared" ca="1" si="26"/>
        <v>#VALUE!</v>
      </c>
      <c r="N331" t="e">
        <f ca="1">IF(Table3[[#This Row],[6M Stat]]="Claimable",1,0)</f>
        <v>#VALUE!</v>
      </c>
      <c r="O331" s="4" t="e">
        <f>Table3[[#This Row],[Joining Date]]+365</f>
        <v>#VALUE!</v>
      </c>
      <c r="Q331" t="e">
        <f t="shared" ca="1" si="27"/>
        <v>#VALUE!</v>
      </c>
      <c r="R331" t="e">
        <f ca="1">IF(Table3[[#This Row],[12 M Stat]]="Claimable",1,0)</f>
        <v>#VALUE!</v>
      </c>
      <c r="S331" t="e">
        <f ca="1">Table3[[#This Row],[Placement claim Highlight]]+Table3[[#This Row],[Highlight rule 6M]]+Table3[[#This Row],[Highlight rule 12 M]]</f>
        <v>#VALUE!</v>
      </c>
      <c r="T331" s="6">
        <f>SUM(Table3[[#This Row],[Placement Fee]:[Salary]])</f>
        <v>0</v>
      </c>
      <c r="U331" s="6"/>
      <c r="V331" s="6">
        <f>IF(Table1[[#This Row],[MoL]]="Yes",55,0)</f>
        <v>0</v>
      </c>
      <c r="W331" s="6">
        <f>IF(Table1[[#This Row],[Long MoL +3 Years]]="Yes",137.5,0)</f>
        <v>0</v>
      </c>
      <c r="X331" s="6">
        <f>IF(Table1[[#This Row],[Gender]]="Female",137.5,0)</f>
        <v>0</v>
      </c>
      <c r="Y331" s="6">
        <f>IF(Table1[[#This Row],[Education]]="Bachelors +",55,0)</f>
        <v>0</v>
      </c>
      <c r="Z331" s="6">
        <f>IF(Table1[[#This Row],[Salary]]&gt;=600,82.5,0)</f>
        <v>0</v>
      </c>
    </row>
    <row r="332" spans="1:26">
      <c r="A332" s="3">
        <f>Table1[[#This Row],[SL No.]]</f>
        <v>331</v>
      </c>
      <c r="B332">
        <f>Table1[[#This Row],[Case manager]]</f>
        <v>0</v>
      </c>
      <c r="C332">
        <f>Table1[[#This Row],[Ref No]]</f>
        <v>0</v>
      </c>
      <c r="D332">
        <f>Table1[[#This Row],[Name]]</f>
        <v>0</v>
      </c>
      <c r="E332" s="4" t="str">
        <f>'Placements 26'!F331</f>
        <v>-</v>
      </c>
      <c r="F332" s="4" t="e">
        <f t="shared" ca="1" si="25"/>
        <v>#VALUE!</v>
      </c>
      <c r="G332" s="4"/>
      <c r="H332" s="4"/>
      <c r="J332">
        <f>IF(Table3[[#This Row],[Placement Fee &amp; Variables]]&gt;0,0,1)</f>
        <v>1</v>
      </c>
      <c r="K332" s="4" t="e">
        <f>Table3[[#This Row],[Joining Date]]+180</f>
        <v>#VALUE!</v>
      </c>
      <c r="L332" t="e">
        <f t="shared" ca="1" si="26"/>
        <v>#VALUE!</v>
      </c>
      <c r="N332" t="e">
        <f ca="1">IF(Table3[[#This Row],[6M Stat]]="Claimable",1,0)</f>
        <v>#VALUE!</v>
      </c>
      <c r="O332" s="4" t="e">
        <f>Table3[[#This Row],[Joining Date]]+365</f>
        <v>#VALUE!</v>
      </c>
      <c r="Q332" t="e">
        <f t="shared" ca="1" si="27"/>
        <v>#VALUE!</v>
      </c>
      <c r="R332" t="e">
        <f ca="1">IF(Table3[[#This Row],[12 M Stat]]="Claimable",1,0)</f>
        <v>#VALUE!</v>
      </c>
      <c r="S332" t="e">
        <f ca="1">Table3[[#This Row],[Placement claim Highlight]]+Table3[[#This Row],[Highlight rule 6M]]+Table3[[#This Row],[Highlight rule 12 M]]</f>
        <v>#VALUE!</v>
      </c>
      <c r="T332" s="6">
        <f>SUM(Table3[[#This Row],[Placement Fee]:[Salary]])</f>
        <v>0</v>
      </c>
      <c r="U332" s="6"/>
      <c r="V332" s="6">
        <f>IF(Table1[[#This Row],[MoL]]="Yes",55,0)</f>
        <v>0</v>
      </c>
      <c r="W332" s="6">
        <f>IF(Table1[[#This Row],[Long MoL +3 Years]]="Yes",137.5,0)</f>
        <v>0</v>
      </c>
      <c r="X332" s="6">
        <f>IF(Table1[[#This Row],[Gender]]="Female",137.5,0)</f>
        <v>0</v>
      </c>
      <c r="Y332" s="6">
        <f>IF(Table1[[#This Row],[Education]]="Bachelors +",55,0)</f>
        <v>0</v>
      </c>
      <c r="Z332" s="6">
        <f>IF(Table1[[#This Row],[Salary]]&gt;=600,82.5,0)</f>
        <v>0</v>
      </c>
    </row>
    <row r="333" spans="1:26">
      <c r="A333" s="3">
        <f>Table1[[#This Row],[SL No.]]</f>
        <v>332</v>
      </c>
      <c r="B333">
        <f>Table1[[#This Row],[Case manager]]</f>
        <v>0</v>
      </c>
      <c r="C333">
        <f>Table1[[#This Row],[Ref No]]</f>
        <v>0</v>
      </c>
      <c r="D333">
        <f>Table1[[#This Row],[Name]]</f>
        <v>0</v>
      </c>
      <c r="E333" s="4" t="str">
        <f>'Placements 26'!F332</f>
        <v>-</v>
      </c>
      <c r="F333" s="4" t="e">
        <f t="shared" ca="1" si="25"/>
        <v>#VALUE!</v>
      </c>
      <c r="G333" s="4"/>
      <c r="H333" s="4"/>
      <c r="J333">
        <f>IF(Table3[[#This Row],[Placement Fee &amp; Variables]]&gt;0,0,1)</f>
        <v>1</v>
      </c>
      <c r="K333" s="4" t="e">
        <f>Table3[[#This Row],[Joining Date]]+180</f>
        <v>#VALUE!</v>
      </c>
      <c r="L333" t="e">
        <f t="shared" ca="1" si="26"/>
        <v>#VALUE!</v>
      </c>
      <c r="N333" t="e">
        <f ca="1">IF(Table3[[#This Row],[6M Stat]]="Claimable",1,0)</f>
        <v>#VALUE!</v>
      </c>
      <c r="O333" s="4" t="e">
        <f>Table3[[#This Row],[Joining Date]]+365</f>
        <v>#VALUE!</v>
      </c>
      <c r="Q333" t="e">
        <f t="shared" ca="1" si="27"/>
        <v>#VALUE!</v>
      </c>
      <c r="R333" t="e">
        <f ca="1">IF(Table3[[#This Row],[12 M Stat]]="Claimable",1,0)</f>
        <v>#VALUE!</v>
      </c>
      <c r="S333" t="e">
        <f ca="1">Table3[[#This Row],[Placement claim Highlight]]+Table3[[#This Row],[Highlight rule 6M]]+Table3[[#This Row],[Highlight rule 12 M]]</f>
        <v>#VALUE!</v>
      </c>
      <c r="T333" s="6">
        <f>SUM(Table3[[#This Row],[Placement Fee]:[Salary]])</f>
        <v>0</v>
      </c>
      <c r="U333" s="6"/>
      <c r="V333" s="6">
        <f>IF(Table1[[#This Row],[MoL]]="Yes",55,0)</f>
        <v>0</v>
      </c>
      <c r="W333" s="6">
        <f>IF(Table1[[#This Row],[Long MoL +3 Years]]="Yes",137.5,0)</f>
        <v>0</v>
      </c>
      <c r="X333" s="6">
        <f>IF(Table1[[#This Row],[Gender]]="Female",137.5,0)</f>
        <v>0</v>
      </c>
      <c r="Y333" s="6">
        <f>IF(Table1[[#This Row],[Education]]="Bachelors +",55,0)</f>
        <v>0</v>
      </c>
      <c r="Z333" s="6">
        <f>IF(Table1[[#This Row],[Salary]]&gt;=600,82.5,0)</f>
        <v>0</v>
      </c>
    </row>
    <row r="334" spans="1:26">
      <c r="A334" s="3">
        <f>Table1[[#This Row],[SL No.]]</f>
        <v>333</v>
      </c>
      <c r="B334">
        <f>Table1[[#This Row],[Case manager]]</f>
        <v>0</v>
      </c>
      <c r="C334">
        <f>Table1[[#This Row],[Ref No]]</f>
        <v>0</v>
      </c>
      <c r="D334">
        <f>Table1[[#This Row],[Name]]</f>
        <v>0</v>
      </c>
      <c r="E334" s="4" t="str">
        <f>'Placements 26'!F333</f>
        <v>-</v>
      </c>
      <c r="F334" s="4" t="e">
        <f t="shared" ca="1" si="25"/>
        <v>#VALUE!</v>
      </c>
      <c r="G334" s="4"/>
      <c r="H334" s="4"/>
      <c r="J334">
        <f>IF(Table3[[#This Row],[Placement Fee &amp; Variables]]&gt;0,0,1)</f>
        <v>1</v>
      </c>
      <c r="K334" s="4" t="e">
        <f>Table3[[#This Row],[Joining Date]]+180</f>
        <v>#VALUE!</v>
      </c>
      <c r="L334" t="e">
        <f t="shared" ca="1" si="26"/>
        <v>#VALUE!</v>
      </c>
      <c r="N334" t="e">
        <f ca="1">IF(Table3[[#This Row],[6M Stat]]="Claimable",1,0)</f>
        <v>#VALUE!</v>
      </c>
      <c r="O334" s="4" t="e">
        <f>Table3[[#This Row],[Joining Date]]+365</f>
        <v>#VALUE!</v>
      </c>
      <c r="Q334" t="e">
        <f t="shared" ca="1" si="27"/>
        <v>#VALUE!</v>
      </c>
      <c r="R334" t="e">
        <f ca="1">IF(Table3[[#This Row],[12 M Stat]]="Claimable",1,0)</f>
        <v>#VALUE!</v>
      </c>
      <c r="S334" t="e">
        <f ca="1">Table3[[#This Row],[Placement claim Highlight]]+Table3[[#This Row],[Highlight rule 6M]]+Table3[[#This Row],[Highlight rule 12 M]]</f>
        <v>#VALUE!</v>
      </c>
      <c r="T334" s="6">
        <f>SUM(Table3[[#This Row],[Placement Fee]:[Salary]])</f>
        <v>0</v>
      </c>
      <c r="U334" s="6"/>
      <c r="V334" s="6">
        <f>IF(Table1[[#This Row],[MoL]]="Yes",55,0)</f>
        <v>0</v>
      </c>
      <c r="W334" s="6">
        <f>IF(Table1[[#This Row],[Long MoL +3 Years]]="Yes",137.5,0)</f>
        <v>0</v>
      </c>
      <c r="X334" s="6">
        <f>IF(Table1[[#This Row],[Gender]]="Female",137.5,0)</f>
        <v>0</v>
      </c>
      <c r="Y334" s="6">
        <f>IF(Table1[[#This Row],[Education]]="Bachelors +",55,0)</f>
        <v>0</v>
      </c>
      <c r="Z334" s="6">
        <f>IF(Table1[[#This Row],[Salary]]&gt;=600,82.5,0)</f>
        <v>0</v>
      </c>
    </row>
    <row r="335" spans="1:26">
      <c r="A335" s="3">
        <f>Table1[[#This Row],[SL No.]]</f>
        <v>334</v>
      </c>
      <c r="B335">
        <f>Table1[[#This Row],[Case manager]]</f>
        <v>0</v>
      </c>
      <c r="C335">
        <f>Table1[[#This Row],[Ref No]]</f>
        <v>0</v>
      </c>
      <c r="D335">
        <f>Table1[[#This Row],[Name]]</f>
        <v>0</v>
      </c>
      <c r="E335" s="4" t="str">
        <f>'Placements 26'!F334</f>
        <v>-</v>
      </c>
      <c r="F335" s="4" t="e">
        <f t="shared" ref="F335:F349" ca="1" si="28">IF(S335&gt;=1,"Claimable","Claimed")</f>
        <v>#VALUE!</v>
      </c>
      <c r="G335" s="4"/>
      <c r="H335" s="4"/>
      <c r="J335">
        <f>IF(Table3[[#This Row],[Placement Fee &amp; Variables]]&gt;0,0,1)</f>
        <v>1</v>
      </c>
      <c r="K335" s="4" t="e">
        <f>Table3[[#This Row],[Joining Date]]+180</f>
        <v>#VALUE!</v>
      </c>
      <c r="L335" t="e">
        <f t="shared" ref="L335:L349" ca="1" si="29">IF(AND(M335="", K335&lt;=TODAY()), "Claimable", "")</f>
        <v>#VALUE!</v>
      </c>
      <c r="N335" t="e">
        <f ca="1">IF(Table3[[#This Row],[6M Stat]]="Claimable",1,0)</f>
        <v>#VALUE!</v>
      </c>
      <c r="O335" s="4" t="e">
        <f>Table3[[#This Row],[Joining Date]]+365</f>
        <v>#VALUE!</v>
      </c>
      <c r="Q335" t="e">
        <f t="shared" ca="1" si="27"/>
        <v>#VALUE!</v>
      </c>
      <c r="R335" t="e">
        <f ca="1">IF(Table3[[#This Row],[12 M Stat]]="Claimable",1,0)</f>
        <v>#VALUE!</v>
      </c>
      <c r="S335" t="e">
        <f ca="1">Table3[[#This Row],[Placement claim Highlight]]+Table3[[#This Row],[Highlight rule 6M]]+Table3[[#This Row],[Highlight rule 12 M]]</f>
        <v>#VALUE!</v>
      </c>
      <c r="T335" s="6">
        <f>SUM(Table3[[#This Row],[Placement Fee]:[Salary]])</f>
        <v>0</v>
      </c>
      <c r="U335" s="6"/>
      <c r="V335" s="6">
        <f>IF(Table1[[#This Row],[MoL]]="Yes",55,0)</f>
        <v>0</v>
      </c>
      <c r="W335" s="6">
        <f>IF(Table1[[#This Row],[Long MoL +3 Years]]="Yes",137.5,0)</f>
        <v>0</v>
      </c>
      <c r="X335" s="6">
        <f>IF(Table1[[#This Row],[Gender]]="Female",137.5,0)</f>
        <v>0</v>
      </c>
      <c r="Y335" s="6">
        <f>IF(Table1[[#This Row],[Education]]="Bachelors +",55,0)</f>
        <v>0</v>
      </c>
      <c r="Z335" s="6">
        <f>IF(Table1[[#This Row],[Salary]]&gt;=600,82.5,0)</f>
        <v>0</v>
      </c>
    </row>
    <row r="336" spans="1:26">
      <c r="A336" s="3">
        <f>Table1[[#This Row],[SL No.]]</f>
        <v>335</v>
      </c>
      <c r="B336">
        <f>Table1[[#This Row],[Case manager]]</f>
        <v>0</v>
      </c>
      <c r="C336">
        <f>Table1[[#This Row],[Ref No]]</f>
        <v>0</v>
      </c>
      <c r="D336">
        <f>Table1[[#This Row],[Name]]</f>
        <v>0</v>
      </c>
      <c r="E336" s="4" t="str">
        <f>'Placements 26'!F335</f>
        <v>-</v>
      </c>
      <c r="F336" s="4" t="e">
        <f t="shared" ca="1" si="28"/>
        <v>#VALUE!</v>
      </c>
      <c r="G336" s="4"/>
      <c r="H336" s="4"/>
      <c r="J336">
        <f>IF(Table3[[#This Row],[Placement Fee &amp; Variables]]&gt;0,0,1)</f>
        <v>1</v>
      </c>
      <c r="K336" s="4" t="e">
        <f>Table3[[#This Row],[Joining Date]]+180</f>
        <v>#VALUE!</v>
      </c>
      <c r="L336" t="e">
        <f t="shared" ca="1" si="29"/>
        <v>#VALUE!</v>
      </c>
      <c r="N336" t="e">
        <f ca="1">IF(Table3[[#This Row],[6M Stat]]="Claimable",1,0)</f>
        <v>#VALUE!</v>
      </c>
      <c r="O336" s="4" t="e">
        <f>Table3[[#This Row],[Joining Date]]+365</f>
        <v>#VALUE!</v>
      </c>
      <c r="Q336" t="e">
        <f t="shared" ca="1" si="27"/>
        <v>#VALUE!</v>
      </c>
      <c r="R336" t="e">
        <f ca="1">IF(Table3[[#This Row],[12 M Stat]]="Claimable",1,0)</f>
        <v>#VALUE!</v>
      </c>
      <c r="S336" t="e">
        <f ca="1">Table3[[#This Row],[Placement claim Highlight]]+Table3[[#This Row],[Highlight rule 6M]]+Table3[[#This Row],[Highlight rule 12 M]]</f>
        <v>#VALUE!</v>
      </c>
      <c r="T336" s="6">
        <f>SUM(Table3[[#This Row],[Placement Fee]:[Salary]])</f>
        <v>0</v>
      </c>
      <c r="U336" s="6"/>
      <c r="V336" s="6">
        <f>IF(Table1[[#This Row],[MoL]]="Yes",55,0)</f>
        <v>0</v>
      </c>
      <c r="W336" s="6">
        <f>IF(Table1[[#This Row],[Long MoL +3 Years]]="Yes",137.5,0)</f>
        <v>0</v>
      </c>
      <c r="X336" s="6">
        <f>IF(Table1[[#This Row],[Gender]]="Female",137.5,0)</f>
        <v>0</v>
      </c>
      <c r="Y336" s="6">
        <f>IF(Table1[[#This Row],[Education]]="Bachelors +",55,0)</f>
        <v>0</v>
      </c>
      <c r="Z336" s="6">
        <f>IF(Table1[[#This Row],[Salary]]&gt;=600,82.5,0)</f>
        <v>0</v>
      </c>
    </row>
    <row r="337" spans="1:26">
      <c r="A337" s="3">
        <f>Table1[[#This Row],[SL No.]]</f>
        <v>336</v>
      </c>
      <c r="B337">
        <f>Table1[[#This Row],[Case manager]]</f>
        <v>0</v>
      </c>
      <c r="C337">
        <f>Table1[[#This Row],[Ref No]]</f>
        <v>0</v>
      </c>
      <c r="D337">
        <f>Table1[[#This Row],[Name]]</f>
        <v>0</v>
      </c>
      <c r="E337" s="4" t="str">
        <f>'Placements 26'!F336</f>
        <v>-</v>
      </c>
      <c r="F337" s="4" t="e">
        <f t="shared" ca="1" si="28"/>
        <v>#VALUE!</v>
      </c>
      <c r="G337" s="4"/>
      <c r="H337" s="4"/>
      <c r="J337">
        <f>IF(Table3[[#This Row],[Placement Fee &amp; Variables]]&gt;0,0,1)</f>
        <v>1</v>
      </c>
      <c r="K337" s="4" t="e">
        <f>Table3[[#This Row],[Joining Date]]+180</f>
        <v>#VALUE!</v>
      </c>
      <c r="L337" t="e">
        <f t="shared" ca="1" si="29"/>
        <v>#VALUE!</v>
      </c>
      <c r="N337" t="e">
        <f ca="1">IF(Table3[[#This Row],[6M Stat]]="Claimable",1,0)</f>
        <v>#VALUE!</v>
      </c>
      <c r="O337" s="4" t="e">
        <f>Table3[[#This Row],[Joining Date]]+365</f>
        <v>#VALUE!</v>
      </c>
      <c r="Q337" t="e">
        <f t="shared" ca="1" si="27"/>
        <v>#VALUE!</v>
      </c>
      <c r="R337" t="e">
        <f ca="1">IF(Table3[[#This Row],[12 M Stat]]="Claimable",1,0)</f>
        <v>#VALUE!</v>
      </c>
      <c r="S337" t="e">
        <f ca="1">Table3[[#This Row],[Placement claim Highlight]]+Table3[[#This Row],[Highlight rule 6M]]+Table3[[#This Row],[Highlight rule 12 M]]</f>
        <v>#VALUE!</v>
      </c>
      <c r="T337" s="6">
        <f>SUM(Table3[[#This Row],[Placement Fee]:[Salary]])</f>
        <v>0</v>
      </c>
      <c r="U337" s="6"/>
      <c r="V337" s="6">
        <f>IF(Table1[[#This Row],[MoL]]="Yes",55,0)</f>
        <v>0</v>
      </c>
      <c r="W337" s="6">
        <f>IF(Table1[[#This Row],[Long MoL +3 Years]]="Yes",137.5,0)</f>
        <v>0</v>
      </c>
      <c r="X337" s="6">
        <f>IF(Table1[[#This Row],[Gender]]="Female",137.5,0)</f>
        <v>0</v>
      </c>
      <c r="Y337" s="6">
        <f>IF(Table1[[#This Row],[Education]]="Bachelors +",55,0)</f>
        <v>0</v>
      </c>
      <c r="Z337" s="6">
        <f>IF(Table1[[#This Row],[Salary]]&gt;=600,82.5,0)</f>
        <v>0</v>
      </c>
    </row>
    <row r="338" spans="1:26">
      <c r="A338" s="3">
        <f>Table1[[#This Row],[SL No.]]</f>
        <v>337</v>
      </c>
      <c r="B338">
        <f>Table1[[#This Row],[Case manager]]</f>
        <v>0</v>
      </c>
      <c r="C338">
        <f>Table1[[#This Row],[Ref No]]</f>
        <v>0</v>
      </c>
      <c r="D338">
        <f>Table1[[#This Row],[Name]]</f>
        <v>0</v>
      </c>
      <c r="E338" s="4" t="str">
        <f>'Placements 26'!F337</f>
        <v>-</v>
      </c>
      <c r="F338" s="4" t="e">
        <f t="shared" ca="1" si="28"/>
        <v>#VALUE!</v>
      </c>
      <c r="G338" s="4"/>
      <c r="H338" s="4"/>
      <c r="J338">
        <f>IF(Table3[[#This Row],[Placement Fee &amp; Variables]]&gt;0,0,1)</f>
        <v>1</v>
      </c>
      <c r="K338" s="4" t="e">
        <f>Table3[[#This Row],[Joining Date]]+180</f>
        <v>#VALUE!</v>
      </c>
      <c r="L338" t="e">
        <f t="shared" ca="1" si="29"/>
        <v>#VALUE!</v>
      </c>
      <c r="N338" t="e">
        <f ca="1">IF(Table3[[#This Row],[6M Stat]]="Claimable",1,0)</f>
        <v>#VALUE!</v>
      </c>
      <c r="O338" s="4" t="e">
        <f>Table3[[#This Row],[Joining Date]]+365</f>
        <v>#VALUE!</v>
      </c>
      <c r="Q338" t="e">
        <f t="shared" ca="1" si="27"/>
        <v>#VALUE!</v>
      </c>
      <c r="R338" t="e">
        <f ca="1">IF(Table3[[#This Row],[12 M Stat]]="Claimable",1,0)</f>
        <v>#VALUE!</v>
      </c>
      <c r="S338" t="e">
        <f ca="1">Table3[[#This Row],[Placement claim Highlight]]+Table3[[#This Row],[Highlight rule 6M]]+Table3[[#This Row],[Highlight rule 12 M]]</f>
        <v>#VALUE!</v>
      </c>
      <c r="T338" s="6">
        <f>SUM(Table3[[#This Row],[Placement Fee]:[Salary]])</f>
        <v>0</v>
      </c>
      <c r="U338" s="6"/>
      <c r="V338" s="6">
        <f>IF(Table1[[#This Row],[MoL]]="Yes",55,0)</f>
        <v>0</v>
      </c>
      <c r="W338" s="6">
        <f>IF(Table1[[#This Row],[Long MoL +3 Years]]="Yes",137.5,0)</f>
        <v>0</v>
      </c>
      <c r="X338" s="6">
        <f>IF(Table1[[#This Row],[Gender]]="Female",137.5,0)</f>
        <v>0</v>
      </c>
      <c r="Y338" s="6">
        <f>IF(Table1[[#This Row],[Education]]="Bachelors +",55,0)</f>
        <v>0</v>
      </c>
      <c r="Z338" s="6">
        <f>IF(Table1[[#This Row],[Salary]]&gt;=600,82.5,0)</f>
        <v>0</v>
      </c>
    </row>
    <row r="339" spans="1:26">
      <c r="A339" s="3">
        <f>Table1[[#This Row],[SL No.]]</f>
        <v>338</v>
      </c>
      <c r="B339">
        <f>Table1[[#This Row],[Case manager]]</f>
        <v>0</v>
      </c>
      <c r="C339">
        <f>Table1[[#This Row],[Ref No]]</f>
        <v>0</v>
      </c>
      <c r="D339">
        <f>Table1[[#This Row],[Name]]</f>
        <v>0</v>
      </c>
      <c r="E339" s="4" t="str">
        <f>'Placements 26'!F338</f>
        <v>-</v>
      </c>
      <c r="F339" s="4" t="e">
        <f t="shared" ca="1" si="28"/>
        <v>#VALUE!</v>
      </c>
      <c r="G339" s="4"/>
      <c r="H339" s="4"/>
      <c r="J339">
        <f>IF(Table3[[#This Row],[Placement Fee &amp; Variables]]&gt;0,0,1)</f>
        <v>1</v>
      </c>
      <c r="K339" s="4" t="e">
        <f>Table3[[#This Row],[Joining Date]]+180</f>
        <v>#VALUE!</v>
      </c>
      <c r="L339" t="e">
        <f t="shared" ca="1" si="29"/>
        <v>#VALUE!</v>
      </c>
      <c r="N339" t="e">
        <f ca="1">IF(Table3[[#This Row],[6M Stat]]="Claimable",1,0)</f>
        <v>#VALUE!</v>
      </c>
      <c r="O339" s="4" t="e">
        <f>Table3[[#This Row],[Joining Date]]+365</f>
        <v>#VALUE!</v>
      </c>
      <c r="Q339" t="e">
        <f t="shared" ca="1" si="27"/>
        <v>#VALUE!</v>
      </c>
      <c r="R339" t="e">
        <f ca="1">IF(Table3[[#This Row],[12 M Stat]]="Claimable",1,0)</f>
        <v>#VALUE!</v>
      </c>
      <c r="S339" t="e">
        <f ca="1">Table3[[#This Row],[Placement claim Highlight]]+Table3[[#This Row],[Highlight rule 6M]]+Table3[[#This Row],[Highlight rule 12 M]]</f>
        <v>#VALUE!</v>
      </c>
      <c r="T339" s="6">
        <f>SUM(Table3[[#This Row],[Placement Fee]:[Salary]])</f>
        <v>0</v>
      </c>
      <c r="U339" s="6"/>
      <c r="V339" s="6">
        <f>IF(Table1[[#This Row],[MoL]]="Yes",55,0)</f>
        <v>0</v>
      </c>
      <c r="W339" s="6">
        <f>IF(Table1[[#This Row],[Long MoL +3 Years]]="Yes",137.5,0)</f>
        <v>0</v>
      </c>
      <c r="X339" s="6">
        <f>IF(Table1[[#This Row],[Gender]]="Female",137.5,0)</f>
        <v>0</v>
      </c>
      <c r="Y339" s="6">
        <f>IF(Table1[[#This Row],[Education]]="Bachelors +",55,0)</f>
        <v>0</v>
      </c>
      <c r="Z339" s="6">
        <f>IF(Table1[[#This Row],[Salary]]&gt;=600,82.5,0)</f>
        <v>0</v>
      </c>
    </row>
    <row r="340" spans="1:26">
      <c r="A340" s="3">
        <f>Table1[[#This Row],[SL No.]]</f>
        <v>339</v>
      </c>
      <c r="B340">
        <f>Table1[[#This Row],[Case manager]]</f>
        <v>0</v>
      </c>
      <c r="C340">
        <f>Table1[[#This Row],[Ref No]]</f>
        <v>0</v>
      </c>
      <c r="D340">
        <f>Table1[[#This Row],[Name]]</f>
        <v>0</v>
      </c>
      <c r="E340" s="4" t="str">
        <f>'Placements 26'!F339</f>
        <v>-</v>
      </c>
      <c r="F340" s="4" t="e">
        <f t="shared" ca="1" si="28"/>
        <v>#VALUE!</v>
      </c>
      <c r="G340" s="4"/>
      <c r="H340" s="4"/>
      <c r="J340">
        <f>IF(Table3[[#This Row],[Placement Fee &amp; Variables]]&gt;0,0,1)</f>
        <v>1</v>
      </c>
      <c r="K340" s="4" t="e">
        <f>Table3[[#This Row],[Joining Date]]+180</f>
        <v>#VALUE!</v>
      </c>
      <c r="L340" t="e">
        <f t="shared" ca="1" si="29"/>
        <v>#VALUE!</v>
      </c>
      <c r="N340" t="e">
        <f ca="1">IF(Table3[[#This Row],[6M Stat]]="Claimable",1,0)</f>
        <v>#VALUE!</v>
      </c>
      <c r="O340" s="4" t="e">
        <f>Table3[[#This Row],[Joining Date]]+365</f>
        <v>#VALUE!</v>
      </c>
      <c r="Q340" t="e">
        <f t="shared" ca="1" si="27"/>
        <v>#VALUE!</v>
      </c>
      <c r="R340" t="e">
        <f ca="1">IF(Table3[[#This Row],[12 M Stat]]="Claimable",1,0)</f>
        <v>#VALUE!</v>
      </c>
      <c r="S340" t="e">
        <f ca="1">Table3[[#This Row],[Placement claim Highlight]]+Table3[[#This Row],[Highlight rule 6M]]+Table3[[#This Row],[Highlight rule 12 M]]</f>
        <v>#VALUE!</v>
      </c>
      <c r="T340" s="6">
        <f>SUM(Table3[[#This Row],[Placement Fee]:[Salary]])</f>
        <v>0</v>
      </c>
      <c r="U340" s="6"/>
      <c r="V340" s="6">
        <f>IF(Table1[[#This Row],[MoL]]="Yes",55,0)</f>
        <v>0</v>
      </c>
      <c r="W340" s="6">
        <f>IF(Table1[[#This Row],[Long MoL +3 Years]]="Yes",137.5,0)</f>
        <v>0</v>
      </c>
      <c r="X340" s="6">
        <f>IF(Table1[[#This Row],[Gender]]="Female",137.5,0)</f>
        <v>0</v>
      </c>
      <c r="Y340" s="6">
        <f>IF(Table1[[#This Row],[Education]]="Bachelors +",55,0)</f>
        <v>0</v>
      </c>
      <c r="Z340" s="6">
        <f>IF(Table1[[#This Row],[Salary]]&gt;=600,82.5,0)</f>
        <v>0</v>
      </c>
    </row>
    <row r="341" spans="1:26">
      <c r="A341" s="3">
        <f>Table1[[#This Row],[SL No.]]</f>
        <v>340</v>
      </c>
      <c r="B341">
        <f>Table1[[#This Row],[Case manager]]</f>
        <v>0</v>
      </c>
      <c r="C341">
        <f>Table1[[#This Row],[Ref No]]</f>
        <v>0</v>
      </c>
      <c r="D341">
        <f>Table1[[#This Row],[Name]]</f>
        <v>0</v>
      </c>
      <c r="E341" s="4" t="str">
        <f>'Placements 26'!F340</f>
        <v>-</v>
      </c>
      <c r="F341" s="4" t="e">
        <f t="shared" ca="1" si="28"/>
        <v>#VALUE!</v>
      </c>
      <c r="G341" s="4"/>
      <c r="H341" s="4"/>
      <c r="J341">
        <f>IF(Table3[[#This Row],[Placement Fee &amp; Variables]]&gt;0,0,1)</f>
        <v>1</v>
      </c>
      <c r="K341" s="4" t="e">
        <f>Table3[[#This Row],[Joining Date]]+180</f>
        <v>#VALUE!</v>
      </c>
      <c r="L341" t="e">
        <f t="shared" ca="1" si="29"/>
        <v>#VALUE!</v>
      </c>
      <c r="N341" t="e">
        <f ca="1">IF(Table3[[#This Row],[6M Stat]]="Claimable",1,0)</f>
        <v>#VALUE!</v>
      </c>
      <c r="O341" s="4" t="e">
        <f>Table3[[#This Row],[Joining Date]]+365</f>
        <v>#VALUE!</v>
      </c>
      <c r="Q341" t="e">
        <f t="shared" ca="1" si="27"/>
        <v>#VALUE!</v>
      </c>
      <c r="R341" t="e">
        <f ca="1">IF(Table3[[#This Row],[12 M Stat]]="Claimable",1,0)</f>
        <v>#VALUE!</v>
      </c>
      <c r="S341" t="e">
        <f ca="1">Table3[[#This Row],[Placement claim Highlight]]+Table3[[#This Row],[Highlight rule 6M]]+Table3[[#This Row],[Highlight rule 12 M]]</f>
        <v>#VALUE!</v>
      </c>
      <c r="T341" s="6">
        <f>SUM(Table3[[#This Row],[Placement Fee]:[Salary]])</f>
        <v>0</v>
      </c>
      <c r="U341" s="6"/>
      <c r="V341" s="6">
        <f>IF(Table1[[#This Row],[MoL]]="Yes",55,0)</f>
        <v>0</v>
      </c>
      <c r="W341" s="6">
        <f>IF(Table1[[#This Row],[Long MoL +3 Years]]="Yes",137.5,0)</f>
        <v>0</v>
      </c>
      <c r="X341" s="6">
        <f>IF(Table1[[#This Row],[Gender]]="Female",137.5,0)</f>
        <v>0</v>
      </c>
      <c r="Y341" s="6">
        <f>IF(Table1[[#This Row],[Education]]="Bachelors +",55,0)</f>
        <v>0</v>
      </c>
      <c r="Z341" s="6">
        <f>IF(Table1[[#This Row],[Salary]]&gt;=600,82.5,0)</f>
        <v>0</v>
      </c>
    </row>
    <row r="342" spans="1:26">
      <c r="A342" s="3">
        <f>Table1[[#This Row],[SL No.]]</f>
        <v>341</v>
      </c>
      <c r="B342">
        <f>Table1[[#This Row],[Case manager]]</f>
        <v>0</v>
      </c>
      <c r="C342">
        <f>Table1[[#This Row],[Ref No]]</f>
        <v>0</v>
      </c>
      <c r="D342">
        <f>Table1[[#This Row],[Name]]</f>
        <v>0</v>
      </c>
      <c r="E342" s="4" t="str">
        <f>'Placements 26'!F341</f>
        <v>-</v>
      </c>
      <c r="F342" s="4" t="e">
        <f t="shared" ca="1" si="28"/>
        <v>#VALUE!</v>
      </c>
      <c r="G342" s="4"/>
      <c r="H342" s="4"/>
      <c r="J342">
        <f>IF(Table3[[#This Row],[Placement Fee &amp; Variables]]&gt;0,0,1)</f>
        <v>1</v>
      </c>
      <c r="K342" s="4" t="e">
        <f>Table3[[#This Row],[Joining Date]]+180</f>
        <v>#VALUE!</v>
      </c>
      <c r="L342" t="e">
        <f t="shared" ca="1" si="29"/>
        <v>#VALUE!</v>
      </c>
      <c r="N342" t="e">
        <f ca="1">IF(Table3[[#This Row],[6M Stat]]="Claimable",1,0)</f>
        <v>#VALUE!</v>
      </c>
      <c r="O342" s="4" t="e">
        <f>Table3[[#This Row],[Joining Date]]+365</f>
        <v>#VALUE!</v>
      </c>
      <c r="Q342" t="e">
        <f t="shared" ca="1" si="27"/>
        <v>#VALUE!</v>
      </c>
      <c r="R342" t="e">
        <f ca="1">IF(Table3[[#This Row],[12 M Stat]]="Claimable",1,0)</f>
        <v>#VALUE!</v>
      </c>
      <c r="S342" t="e">
        <f ca="1">Table3[[#This Row],[Placement claim Highlight]]+Table3[[#This Row],[Highlight rule 6M]]+Table3[[#This Row],[Highlight rule 12 M]]</f>
        <v>#VALUE!</v>
      </c>
      <c r="T342" s="6">
        <f>SUM(Table3[[#This Row],[Placement Fee]:[Salary]])</f>
        <v>0</v>
      </c>
      <c r="U342" s="6"/>
      <c r="V342" s="6">
        <f>IF(Table1[[#This Row],[MoL]]="Yes",55,0)</f>
        <v>0</v>
      </c>
      <c r="W342" s="6">
        <f>IF(Table1[[#This Row],[Long MoL +3 Years]]="Yes",137.5,0)</f>
        <v>0</v>
      </c>
      <c r="X342" s="6">
        <f>IF(Table1[[#This Row],[Gender]]="Female",137.5,0)</f>
        <v>0</v>
      </c>
      <c r="Y342" s="6">
        <f>IF(Table1[[#This Row],[Education]]="Bachelors +",55,0)</f>
        <v>0</v>
      </c>
      <c r="Z342" s="6">
        <f>IF(Table1[[#This Row],[Salary]]&gt;=600,82.5,0)</f>
        <v>0</v>
      </c>
    </row>
    <row r="343" spans="1:26">
      <c r="A343" s="3">
        <f>Table1[[#This Row],[SL No.]]</f>
        <v>342</v>
      </c>
      <c r="B343">
        <f>Table1[[#This Row],[Case manager]]</f>
        <v>0</v>
      </c>
      <c r="C343">
        <f>Table1[[#This Row],[Ref No]]</f>
        <v>0</v>
      </c>
      <c r="D343">
        <f>Table1[[#This Row],[Name]]</f>
        <v>0</v>
      </c>
      <c r="E343" s="4" t="str">
        <f>'Placements 26'!F342</f>
        <v>-</v>
      </c>
      <c r="F343" s="4" t="e">
        <f t="shared" ca="1" si="28"/>
        <v>#VALUE!</v>
      </c>
      <c r="G343" s="4"/>
      <c r="H343" s="4"/>
      <c r="J343">
        <f>IF(Table3[[#This Row],[Placement Fee &amp; Variables]]&gt;0,0,1)</f>
        <v>1</v>
      </c>
      <c r="K343" s="4" t="e">
        <f>Table3[[#This Row],[Joining Date]]+180</f>
        <v>#VALUE!</v>
      </c>
      <c r="L343" t="e">
        <f t="shared" ca="1" si="29"/>
        <v>#VALUE!</v>
      </c>
      <c r="N343" t="e">
        <f ca="1">IF(Table3[[#This Row],[6M Stat]]="Claimable",1,0)</f>
        <v>#VALUE!</v>
      </c>
      <c r="O343" s="4" t="e">
        <f>Table3[[#This Row],[Joining Date]]+365</f>
        <v>#VALUE!</v>
      </c>
      <c r="Q343" t="e">
        <f t="shared" ca="1" si="27"/>
        <v>#VALUE!</v>
      </c>
      <c r="R343" t="e">
        <f ca="1">IF(Table3[[#This Row],[12 M Stat]]="Claimable",1,0)</f>
        <v>#VALUE!</v>
      </c>
      <c r="S343" t="e">
        <f ca="1">Table3[[#This Row],[Placement claim Highlight]]+Table3[[#This Row],[Highlight rule 6M]]+Table3[[#This Row],[Highlight rule 12 M]]</f>
        <v>#VALUE!</v>
      </c>
      <c r="T343" s="6">
        <f>SUM(Table3[[#This Row],[Placement Fee]:[Salary]])</f>
        <v>0</v>
      </c>
      <c r="U343" s="6"/>
      <c r="V343" s="6">
        <f>IF(Table1[[#This Row],[MoL]]="Yes",55,0)</f>
        <v>0</v>
      </c>
      <c r="W343" s="6">
        <f>IF(Table1[[#This Row],[Long MoL +3 Years]]="Yes",137.5,0)</f>
        <v>0</v>
      </c>
      <c r="X343" s="6">
        <f>IF(Table1[[#This Row],[Gender]]="Female",137.5,0)</f>
        <v>0</v>
      </c>
      <c r="Y343" s="6">
        <f>IF(Table1[[#This Row],[Education]]="Bachelors +",55,0)</f>
        <v>0</v>
      </c>
      <c r="Z343" s="6">
        <f>IF(Table1[[#This Row],[Salary]]&gt;=600,82.5,0)</f>
        <v>0</v>
      </c>
    </row>
    <row r="344" spans="1:26">
      <c r="A344" s="3">
        <f>Table1[[#This Row],[SL No.]]</f>
        <v>343</v>
      </c>
      <c r="B344">
        <f>Table1[[#This Row],[Case manager]]</f>
        <v>0</v>
      </c>
      <c r="C344">
        <f>Table1[[#This Row],[Ref No]]</f>
        <v>0</v>
      </c>
      <c r="D344">
        <f>Table1[[#This Row],[Name]]</f>
        <v>0</v>
      </c>
      <c r="E344" s="4" t="str">
        <f>'Placements 26'!F343</f>
        <v>-</v>
      </c>
      <c r="F344" s="4" t="e">
        <f t="shared" ca="1" si="28"/>
        <v>#VALUE!</v>
      </c>
      <c r="G344" s="4"/>
      <c r="H344" s="4"/>
      <c r="J344">
        <f>IF(Table3[[#This Row],[Placement Fee &amp; Variables]]&gt;0,0,1)</f>
        <v>1</v>
      </c>
      <c r="K344" s="4" t="e">
        <f>Table3[[#This Row],[Joining Date]]+180</f>
        <v>#VALUE!</v>
      </c>
      <c r="L344" t="e">
        <f t="shared" ca="1" si="29"/>
        <v>#VALUE!</v>
      </c>
      <c r="N344" t="e">
        <f ca="1">IF(Table3[[#This Row],[6M Stat]]="Claimable",1,0)</f>
        <v>#VALUE!</v>
      </c>
      <c r="O344" s="4" t="e">
        <f>Table3[[#This Row],[Joining Date]]+365</f>
        <v>#VALUE!</v>
      </c>
      <c r="Q344" t="e">
        <f t="shared" ca="1" si="27"/>
        <v>#VALUE!</v>
      </c>
      <c r="R344" t="e">
        <f ca="1">IF(Table3[[#This Row],[12 M Stat]]="Claimable",1,0)</f>
        <v>#VALUE!</v>
      </c>
      <c r="S344" t="e">
        <f ca="1">Table3[[#This Row],[Placement claim Highlight]]+Table3[[#This Row],[Highlight rule 6M]]+Table3[[#This Row],[Highlight rule 12 M]]</f>
        <v>#VALUE!</v>
      </c>
      <c r="T344" s="6">
        <f>SUM(Table3[[#This Row],[Placement Fee]:[Salary]])</f>
        <v>0</v>
      </c>
      <c r="U344" s="6"/>
      <c r="V344" s="6">
        <f>IF(Table1[[#This Row],[MoL]]="Yes",55,0)</f>
        <v>0</v>
      </c>
      <c r="W344" s="6">
        <f>IF(Table1[[#This Row],[Long MoL +3 Years]]="Yes",137.5,0)</f>
        <v>0</v>
      </c>
      <c r="X344" s="6">
        <f>IF(Table1[[#This Row],[Gender]]="Female",137.5,0)</f>
        <v>0</v>
      </c>
      <c r="Y344" s="6">
        <f>IF(Table1[[#This Row],[Education]]="Bachelors +",55,0)</f>
        <v>0</v>
      </c>
      <c r="Z344" s="6">
        <f>IF(Table1[[#This Row],[Salary]]&gt;=600,82.5,0)</f>
        <v>0</v>
      </c>
    </row>
    <row r="345" spans="1:26">
      <c r="A345" s="3">
        <f>Table1[[#This Row],[SL No.]]</f>
        <v>344</v>
      </c>
      <c r="B345">
        <f>Table1[[#This Row],[Case manager]]</f>
        <v>0</v>
      </c>
      <c r="C345">
        <f>Table1[[#This Row],[Ref No]]</f>
        <v>0</v>
      </c>
      <c r="D345">
        <f>Table1[[#This Row],[Name]]</f>
        <v>0</v>
      </c>
      <c r="E345" s="4" t="str">
        <f>'Placements 26'!F344</f>
        <v>-</v>
      </c>
      <c r="F345" s="4" t="e">
        <f t="shared" ca="1" si="28"/>
        <v>#VALUE!</v>
      </c>
      <c r="G345" s="4"/>
      <c r="H345" s="4"/>
      <c r="J345">
        <f>IF(Table3[[#This Row],[Placement Fee &amp; Variables]]&gt;0,0,1)</f>
        <v>1</v>
      </c>
      <c r="K345" s="4" t="e">
        <f>Table3[[#This Row],[Joining Date]]+180</f>
        <v>#VALUE!</v>
      </c>
      <c r="L345" t="e">
        <f t="shared" ca="1" si="29"/>
        <v>#VALUE!</v>
      </c>
      <c r="N345" t="e">
        <f ca="1">IF(Table3[[#This Row],[6M Stat]]="Claimable",1,0)</f>
        <v>#VALUE!</v>
      </c>
      <c r="O345" s="4" t="e">
        <f>Table3[[#This Row],[Joining Date]]+365</f>
        <v>#VALUE!</v>
      </c>
      <c r="Q345" t="e">
        <f t="shared" ca="1" si="27"/>
        <v>#VALUE!</v>
      </c>
      <c r="R345" t="e">
        <f ca="1">IF(Table3[[#This Row],[12 M Stat]]="Claimable",1,0)</f>
        <v>#VALUE!</v>
      </c>
      <c r="S345" t="e">
        <f ca="1">Table3[[#This Row],[Placement claim Highlight]]+Table3[[#This Row],[Highlight rule 6M]]+Table3[[#This Row],[Highlight rule 12 M]]</f>
        <v>#VALUE!</v>
      </c>
      <c r="T345" s="6">
        <f>SUM(Table3[[#This Row],[Placement Fee]:[Salary]])</f>
        <v>0</v>
      </c>
      <c r="U345" s="6"/>
      <c r="V345" s="6">
        <f>IF(Table1[[#This Row],[MoL]]="Yes",55,0)</f>
        <v>0</v>
      </c>
      <c r="W345" s="6">
        <f>IF(Table1[[#This Row],[Long MoL +3 Years]]="Yes",137.5,0)</f>
        <v>0</v>
      </c>
      <c r="X345" s="6">
        <f>IF(Table1[[#This Row],[Gender]]="Female",137.5,0)</f>
        <v>0</v>
      </c>
      <c r="Y345" s="6">
        <f>IF(Table1[[#This Row],[Education]]="Bachelors +",55,0)</f>
        <v>0</v>
      </c>
      <c r="Z345" s="6">
        <f>IF(Table1[[#This Row],[Salary]]&gt;=600,82.5,0)</f>
        <v>0</v>
      </c>
    </row>
    <row r="346" spans="1:26">
      <c r="A346" s="3">
        <f>Table1[[#This Row],[SL No.]]</f>
        <v>345</v>
      </c>
      <c r="B346">
        <f>Table1[[#This Row],[Case manager]]</f>
        <v>0</v>
      </c>
      <c r="C346">
        <f>Table1[[#This Row],[Ref No]]</f>
        <v>0</v>
      </c>
      <c r="D346">
        <f>Table1[[#This Row],[Name]]</f>
        <v>0</v>
      </c>
      <c r="E346" s="4" t="str">
        <f>'Placements 26'!F345</f>
        <v>-</v>
      </c>
      <c r="F346" s="4" t="e">
        <f t="shared" ca="1" si="28"/>
        <v>#VALUE!</v>
      </c>
      <c r="G346" s="4"/>
      <c r="H346" s="4"/>
      <c r="J346">
        <f>IF(Table3[[#This Row],[Placement Fee &amp; Variables]]&gt;0,0,1)</f>
        <v>1</v>
      </c>
      <c r="K346" s="4" t="e">
        <f>Table3[[#This Row],[Joining Date]]+180</f>
        <v>#VALUE!</v>
      </c>
      <c r="L346" t="e">
        <f t="shared" ca="1" si="29"/>
        <v>#VALUE!</v>
      </c>
      <c r="N346" t="e">
        <f ca="1">IF(Table3[[#This Row],[6M Stat]]="Claimable",1,0)</f>
        <v>#VALUE!</v>
      </c>
      <c r="O346" s="4" t="e">
        <f>Table3[[#This Row],[Joining Date]]+365</f>
        <v>#VALUE!</v>
      </c>
      <c r="Q346" t="e">
        <f t="shared" ca="1" si="27"/>
        <v>#VALUE!</v>
      </c>
      <c r="R346" t="e">
        <f ca="1">IF(Table3[[#This Row],[12 M Stat]]="Claimable",1,0)</f>
        <v>#VALUE!</v>
      </c>
      <c r="S346" t="e">
        <f ca="1">Table3[[#This Row],[Placement claim Highlight]]+Table3[[#This Row],[Highlight rule 6M]]+Table3[[#This Row],[Highlight rule 12 M]]</f>
        <v>#VALUE!</v>
      </c>
      <c r="T346" s="6">
        <f>SUM(Table3[[#This Row],[Placement Fee]:[Salary]])</f>
        <v>0</v>
      </c>
      <c r="U346" s="6"/>
      <c r="V346" s="6">
        <f>IF(Table1[[#This Row],[MoL]]="Yes",55,0)</f>
        <v>0</v>
      </c>
      <c r="W346" s="6">
        <f>IF(Table1[[#This Row],[Long MoL +3 Years]]="Yes",137.5,0)</f>
        <v>0</v>
      </c>
      <c r="X346" s="6">
        <f>IF(Table1[[#This Row],[Gender]]="Female",137.5,0)</f>
        <v>0</v>
      </c>
      <c r="Y346" s="6">
        <f>IF(Table1[[#This Row],[Education]]="Bachelors +",55,0)</f>
        <v>0</v>
      </c>
      <c r="Z346" s="6">
        <f>IF(Table1[[#This Row],[Salary]]&gt;=600,82.5,0)</f>
        <v>0</v>
      </c>
    </row>
    <row r="347" spans="1:26">
      <c r="A347" s="3">
        <f>Table1[[#This Row],[SL No.]]</f>
        <v>346</v>
      </c>
      <c r="B347">
        <f>Table1[[#This Row],[Case manager]]</f>
        <v>0</v>
      </c>
      <c r="C347">
        <f>Table1[[#This Row],[Ref No]]</f>
        <v>0</v>
      </c>
      <c r="D347">
        <f>Table1[[#This Row],[Name]]</f>
        <v>0</v>
      </c>
      <c r="E347" s="4" t="str">
        <f>'Placements 26'!F346</f>
        <v>-</v>
      </c>
      <c r="F347" s="4" t="e">
        <f t="shared" ca="1" si="28"/>
        <v>#VALUE!</v>
      </c>
      <c r="G347" s="4"/>
      <c r="H347" s="4"/>
      <c r="J347">
        <f>IF(Table3[[#This Row],[Placement Fee &amp; Variables]]&gt;0,0,1)</f>
        <v>1</v>
      </c>
      <c r="K347" s="4" t="e">
        <f>Table3[[#This Row],[Joining Date]]+180</f>
        <v>#VALUE!</v>
      </c>
      <c r="L347" t="e">
        <f t="shared" ca="1" si="29"/>
        <v>#VALUE!</v>
      </c>
      <c r="N347" t="e">
        <f ca="1">IF(Table3[[#This Row],[6M Stat]]="Claimable",1,0)</f>
        <v>#VALUE!</v>
      </c>
      <c r="O347" s="4" t="e">
        <f>Table3[[#This Row],[Joining Date]]+365</f>
        <v>#VALUE!</v>
      </c>
      <c r="Q347" t="e">
        <f t="shared" ca="1" si="27"/>
        <v>#VALUE!</v>
      </c>
      <c r="R347" t="e">
        <f ca="1">IF(Table3[[#This Row],[12 M Stat]]="Claimable",1,0)</f>
        <v>#VALUE!</v>
      </c>
      <c r="S347" t="e">
        <f ca="1">Table3[[#This Row],[Placement claim Highlight]]+Table3[[#This Row],[Highlight rule 6M]]+Table3[[#This Row],[Highlight rule 12 M]]</f>
        <v>#VALUE!</v>
      </c>
      <c r="T347" s="6">
        <f>SUM(Table3[[#This Row],[Placement Fee]:[Salary]])</f>
        <v>0</v>
      </c>
      <c r="U347" s="6"/>
      <c r="V347" s="6">
        <f>IF(Table1[[#This Row],[MoL]]="Yes",55,0)</f>
        <v>0</v>
      </c>
      <c r="W347" s="6">
        <f>IF(Table1[[#This Row],[Long MoL +3 Years]]="Yes",137.5,0)</f>
        <v>0</v>
      </c>
      <c r="X347" s="6">
        <f>IF(Table1[[#This Row],[Gender]]="Female",137.5,0)</f>
        <v>0</v>
      </c>
      <c r="Y347" s="6">
        <f>IF(Table1[[#This Row],[Education]]="Bachelors +",55,0)</f>
        <v>0</v>
      </c>
      <c r="Z347" s="6">
        <f>IF(Table1[[#This Row],[Salary]]&gt;=600,82.5,0)</f>
        <v>0</v>
      </c>
    </row>
    <row r="348" spans="1:26">
      <c r="A348" s="3">
        <f>Table1[[#This Row],[SL No.]]</f>
        <v>347</v>
      </c>
      <c r="B348">
        <f>Table1[[#This Row],[Case manager]]</f>
        <v>0</v>
      </c>
      <c r="C348">
        <f>Table1[[#This Row],[Ref No]]</f>
        <v>0</v>
      </c>
      <c r="D348">
        <f>Table1[[#This Row],[Name]]</f>
        <v>0</v>
      </c>
      <c r="E348" s="4" t="str">
        <f>'Placements 26'!F347</f>
        <v>-</v>
      </c>
      <c r="F348" s="4" t="e">
        <f t="shared" ca="1" si="28"/>
        <v>#VALUE!</v>
      </c>
      <c r="G348" s="4"/>
      <c r="H348" s="4"/>
      <c r="J348">
        <f>IF(Table3[[#This Row],[Placement Fee &amp; Variables]]&gt;0,0,1)</f>
        <v>1</v>
      </c>
      <c r="K348" s="4" t="e">
        <f>Table3[[#This Row],[Joining Date]]+180</f>
        <v>#VALUE!</v>
      </c>
      <c r="L348" t="e">
        <f t="shared" ca="1" si="29"/>
        <v>#VALUE!</v>
      </c>
      <c r="N348" t="e">
        <f ca="1">IF(Table3[[#This Row],[6M Stat]]="Claimable",1,0)</f>
        <v>#VALUE!</v>
      </c>
      <c r="O348" s="4" t="e">
        <f>Table3[[#This Row],[Joining Date]]+365</f>
        <v>#VALUE!</v>
      </c>
      <c r="Q348" t="e">
        <f t="shared" ca="1" si="27"/>
        <v>#VALUE!</v>
      </c>
      <c r="R348" t="e">
        <f ca="1">IF(Table3[[#This Row],[12 M Stat]]="Claimable",1,0)</f>
        <v>#VALUE!</v>
      </c>
      <c r="S348" t="e">
        <f ca="1">Table3[[#This Row],[Placement claim Highlight]]+Table3[[#This Row],[Highlight rule 6M]]+Table3[[#This Row],[Highlight rule 12 M]]</f>
        <v>#VALUE!</v>
      </c>
      <c r="T348" s="6">
        <f>SUM(Table3[[#This Row],[Placement Fee]:[Salary]])</f>
        <v>0</v>
      </c>
      <c r="U348" s="6"/>
      <c r="V348" s="6">
        <f>IF(Table1[[#This Row],[MoL]]="Yes",55,0)</f>
        <v>0</v>
      </c>
      <c r="W348" s="6">
        <f>IF(Table1[[#This Row],[Long MoL +3 Years]]="Yes",137.5,0)</f>
        <v>0</v>
      </c>
      <c r="X348" s="6">
        <f>IF(Table1[[#This Row],[Gender]]="Female",137.5,0)</f>
        <v>0</v>
      </c>
      <c r="Y348" s="6">
        <f>IF(Table1[[#This Row],[Education]]="Bachelors +",55,0)</f>
        <v>0</v>
      </c>
      <c r="Z348" s="6">
        <f>IF(Table1[[#This Row],[Salary]]&gt;=600,82.5,0)</f>
        <v>0</v>
      </c>
    </row>
    <row r="349" spans="1:26">
      <c r="A349" s="3">
        <f>Table1[[#This Row],[SL No.]]</f>
        <v>348</v>
      </c>
      <c r="B349" t="str">
        <f>Table1[[#This Row],[Case manager]]</f>
        <v>Husain</v>
      </c>
      <c r="C349" t="str">
        <f>Table1[[#This Row],[Ref No]]</f>
        <v>JCP/26/287661</v>
      </c>
      <c r="D349" t="str">
        <f>Table1[[#This Row],[Name]]</f>
        <v>Ali Abdulhusain Ali Yusuf</v>
      </c>
      <c r="E349" s="4" t="str">
        <f>'Placements 26'!F348</f>
        <v>-</v>
      </c>
      <c r="F349" s="4" t="e">
        <f t="shared" ca="1" si="28"/>
        <v>#VALUE!</v>
      </c>
      <c r="G349" s="4"/>
      <c r="H349" s="4"/>
      <c r="J349">
        <f>IF(Table3[[#This Row],[Placement Fee &amp; Variables]]&gt;0,0,1)</f>
        <v>1</v>
      </c>
      <c r="K349" s="4" t="e">
        <f>Table3[[#This Row],[Joining Date]]+180</f>
        <v>#VALUE!</v>
      </c>
      <c r="L349" t="e">
        <f t="shared" ca="1" si="29"/>
        <v>#VALUE!</v>
      </c>
      <c r="N349" t="e">
        <f ca="1">IF(Table3[[#This Row],[6M Stat]]="Claimable",1,0)</f>
        <v>#VALUE!</v>
      </c>
      <c r="O349" s="4" t="e">
        <f>Table3[[#This Row],[Joining Date]]+365</f>
        <v>#VALUE!</v>
      </c>
      <c r="Q349" t="e">
        <f t="shared" ca="1" si="27"/>
        <v>#VALUE!</v>
      </c>
      <c r="R349" t="e">
        <f ca="1">IF(Table3[[#This Row],[12 M Stat]]="Claimable",1,0)</f>
        <v>#VALUE!</v>
      </c>
      <c r="S349" t="e">
        <f ca="1">Table3[[#This Row],[Placement claim Highlight]]+Table3[[#This Row],[Highlight rule 6M]]+Table3[[#This Row],[Highlight rule 12 M]]</f>
        <v>#VALUE!</v>
      </c>
      <c r="T349" s="6">
        <f>SUM(Table3[[#This Row],[Placement Fee]:[Salary]])</f>
        <v>82.5</v>
      </c>
      <c r="U349" s="6"/>
      <c r="V349" s="6">
        <f>IF(Table1[[#This Row],[MoL]]="Yes",55,0)</f>
        <v>0</v>
      </c>
      <c r="W349" s="6">
        <f>IF(Table1[[#This Row],[Long MoL +3 Years]]="Yes",137.5,0)</f>
        <v>0</v>
      </c>
      <c r="X349" s="6">
        <f>IF(Table1[[#This Row],[Gender]]="Female",137.5,0)</f>
        <v>0</v>
      </c>
      <c r="Y349" s="6">
        <f>IF(Table1[[#This Row],[Education]]="Bachelors +",55,0)</f>
        <v>0</v>
      </c>
      <c r="Z349" s="6">
        <f>IF(Table1[[#This Row],[Salary]]&gt;=600,82.5,0)</f>
        <v>82.5</v>
      </c>
    </row>
    <row r="350" spans="1:26">
      <c r="C350" t="str">
        <f>Table1[[#This Row],[Ref No]]</f>
        <v>JCP/26/295210</v>
      </c>
      <c r="E350" s="4"/>
      <c r="F350" s="4"/>
      <c r="G350" s="4"/>
      <c r="H350" s="4"/>
      <c r="K350" s="4"/>
      <c r="O350" s="4"/>
      <c r="Q350" t="str">
        <f t="shared" ca="1" si="27"/>
        <v>Claimable</v>
      </c>
      <c r="R350">
        <f ca="1">IF(Table3[[#This Row],[12 M Stat]]="Claimable",1,0)</f>
        <v>1</v>
      </c>
      <c r="S350">
        <f ca="1">Table3[[#This Row],[Placement claim Highlight]]+Table3[[#This Row],[Highlight rule 6M]]+Table3[[#This Row],[Highlight rule 12 M]]</f>
        <v>1</v>
      </c>
      <c r="T350" s="6">
        <f>SUM(Table3[[#This Row],[Placement Fee]:[Salary]])</f>
        <v>137.5</v>
      </c>
      <c r="U350" s="6"/>
      <c r="V350" s="6">
        <f>IF(Table1[[#This Row],[MoL]]="Yes",55,0)</f>
        <v>0</v>
      </c>
      <c r="W350" s="6">
        <f>IF(Table1[[#This Row],[Long MoL +3 Years]]="Yes",137.5,0)</f>
        <v>0</v>
      </c>
      <c r="X350" s="6">
        <f>IF(Table1[[#This Row],[Gender]]="Female",137.5,0)</f>
        <v>0</v>
      </c>
      <c r="Y350" s="6">
        <f>IF(Table1[[#This Row],[Education]]="Bachelors +",55,0)</f>
        <v>55</v>
      </c>
      <c r="Z350" s="6">
        <f>IF(Table1[[#This Row],[Salary]]&gt;=600,82.5,0)</f>
        <v>82.5</v>
      </c>
    </row>
    <row r="351" spans="1:26" ht="15" customHeight="1">
      <c r="C351">
        <f>Table1[[#This Row],[Ref No]]</f>
        <v>0</v>
      </c>
      <c r="E351" s="4"/>
      <c r="F351" s="4"/>
      <c r="G351" s="4"/>
      <c r="H351" s="4"/>
      <c r="K351" s="4"/>
      <c r="O351" s="4"/>
      <c r="Q351" t="str">
        <f t="shared" ref="Q351:Q361" ca="1" si="30">IF(AND(P351="", O351&lt;=TODAY()), "Claimable", "")</f>
        <v>Claimable</v>
      </c>
      <c r="R351">
        <f ca="1">IF(Table3[[#This Row],[12 M Stat]]="Claimable",1,0)</f>
        <v>1</v>
      </c>
      <c r="S351">
        <f ca="1">Table3[[#This Row],[Placement claim Highlight]]+Table3[[#This Row],[Highlight rule 6M]]+Table3[[#This Row],[Highlight rule 12 M]]</f>
        <v>1</v>
      </c>
      <c r="T351" s="6">
        <f>SUM(Table3[[#This Row],[Placement Fee]:[Salary]])</f>
        <v>0</v>
      </c>
      <c r="U351" s="6"/>
      <c r="V351" s="6">
        <f>IF(Table1[[#This Row],[MoL]]="Yes",55,0)</f>
        <v>0</v>
      </c>
      <c r="W351" s="6">
        <f>IF(Table1[[#This Row],[Long MoL +3 Years]]="Yes",137.5,0)</f>
        <v>0</v>
      </c>
      <c r="X351" s="6">
        <f>IF(Table1[[#This Row],[Gender]]="Female",137.5,0)</f>
        <v>0</v>
      </c>
      <c r="Y351" s="6">
        <f>IF(Table1[[#This Row],[Education]]="Bachelors +",55,0)</f>
        <v>0</v>
      </c>
      <c r="Z351" s="6">
        <f>IF(Table1[[#This Row],[Salary]]&gt;=600,82.5,0)</f>
        <v>0</v>
      </c>
    </row>
    <row r="352" spans="1:26" ht="15" customHeight="1">
      <c r="C352" t="str">
        <f>Table1[[#This Row],[Ref No]]</f>
        <v>JCP/26/297993</v>
      </c>
      <c r="E352" s="4"/>
      <c r="F352" s="4"/>
      <c r="G352" s="4"/>
      <c r="H352" s="4"/>
      <c r="K352" s="4"/>
      <c r="O352" s="4"/>
      <c r="Q352" t="str">
        <f t="shared" ca="1" si="30"/>
        <v>Claimable</v>
      </c>
      <c r="R352">
        <f ca="1">IF(Table3[[#This Row],[12 M Stat]]="Claimable",1,0)</f>
        <v>1</v>
      </c>
      <c r="S352">
        <f ca="1">Table3[[#This Row],[Placement claim Highlight]]+Table3[[#This Row],[Highlight rule 6M]]+Table3[[#This Row],[Highlight rule 12 M]]</f>
        <v>1</v>
      </c>
      <c r="T352" s="6">
        <f>SUM(Table3[[#This Row],[Placement Fee]:[Salary]])</f>
        <v>192.5</v>
      </c>
      <c r="U352" s="6"/>
      <c r="V352" s="6">
        <f>IF(Table1[[#This Row],[MoL]]="Yes",55,0)</f>
        <v>0</v>
      </c>
      <c r="W352" s="6">
        <f>IF(Table1[[#This Row],[Long MoL +3 Years]]="Yes",137.5,0)</f>
        <v>0</v>
      </c>
      <c r="X352" s="6">
        <f>IF(Table1[[#This Row],[Gender]]="Female",137.5,0)</f>
        <v>137.5</v>
      </c>
      <c r="Y352" s="6">
        <f>IF(Table1[[#This Row],[Education]]="Bachelors +",55,0)</f>
        <v>55</v>
      </c>
      <c r="Z352" s="6">
        <f>IF(Table1[[#This Row],[Salary]]&gt;=600,82.5,0)</f>
        <v>0</v>
      </c>
    </row>
    <row r="353" spans="3:26" ht="15" customHeight="1">
      <c r="C353" t="str">
        <f>Table1[[#This Row],[Ref No]]</f>
        <v>JCP/26/283679</v>
      </c>
      <c r="E353" s="4"/>
      <c r="F353" s="4"/>
      <c r="G353" s="4"/>
      <c r="H353" s="4"/>
      <c r="K353" s="4"/>
      <c r="O353" s="4"/>
      <c r="Q353" t="str">
        <f t="shared" ca="1" si="30"/>
        <v>Claimable</v>
      </c>
      <c r="R353">
        <f ca="1">IF(Table3[[#This Row],[12 M Stat]]="Claimable",1,0)</f>
        <v>1</v>
      </c>
      <c r="S353">
        <f ca="1">Table3[[#This Row],[Placement claim Highlight]]+Table3[[#This Row],[Highlight rule 6M]]+Table3[[#This Row],[Highlight rule 12 M]]</f>
        <v>1</v>
      </c>
      <c r="T353" s="6">
        <f>SUM(Table3[[#This Row],[Placement Fee]:[Salary]])</f>
        <v>110</v>
      </c>
      <c r="U353" s="6"/>
      <c r="V353" s="6">
        <f>IF(Table1[[#This Row],[MoL]]="Yes",55,0)</f>
        <v>55</v>
      </c>
      <c r="W353" s="6">
        <f>IF(Table1[[#This Row],[Long MoL +3 Years]]="Yes",137.5,0)</f>
        <v>0</v>
      </c>
      <c r="X353" s="6">
        <f>IF(Table1[[#This Row],[Gender]]="Female",137.5,0)</f>
        <v>0</v>
      </c>
      <c r="Y353" s="6">
        <f>IF(Table1[[#This Row],[Education]]="Bachelors +",55,0)</f>
        <v>55</v>
      </c>
      <c r="Z353" s="6">
        <f>IF(Table1[[#This Row],[Salary]]&gt;=600,82.5,0)</f>
        <v>0</v>
      </c>
    </row>
    <row r="354" spans="3:26" ht="15" customHeight="1">
      <c r="C354" t="str">
        <f>Table1[[#This Row],[Ref No]]</f>
        <v>JCP/26/297418</v>
      </c>
      <c r="E354" s="4"/>
      <c r="F354" s="4"/>
      <c r="G354" s="4"/>
      <c r="H354" s="4"/>
      <c r="K354" s="4"/>
      <c r="O354" s="4"/>
      <c r="Q354" t="str">
        <f t="shared" ca="1" si="30"/>
        <v>Claimable</v>
      </c>
      <c r="R354">
        <f ca="1">IF(Table3[[#This Row],[12 M Stat]]="Claimable",1,0)</f>
        <v>1</v>
      </c>
      <c r="S354">
        <f ca="1">Table3[[#This Row],[Placement claim Highlight]]+Table3[[#This Row],[Highlight rule 6M]]+Table3[[#This Row],[Highlight rule 12 M]]</f>
        <v>1</v>
      </c>
      <c r="T354" s="6">
        <f>SUM(Table3[[#This Row],[Placement Fee]:[Salary]])</f>
        <v>330</v>
      </c>
      <c r="U354" s="6"/>
      <c r="V354" s="6">
        <f>IF(Table1[[#This Row],[MoL]]="Yes",55,0)</f>
        <v>55</v>
      </c>
      <c r="W354" s="6">
        <f>IF(Table1[[#This Row],[Long MoL +3 Years]]="Yes",137.5,0)</f>
        <v>0</v>
      </c>
      <c r="X354" s="6">
        <f>IF(Table1[[#This Row],[Gender]]="Female",137.5,0)</f>
        <v>137.5</v>
      </c>
      <c r="Y354" s="6">
        <f>IF(Table1[[#This Row],[Education]]="Bachelors +",55,0)</f>
        <v>55</v>
      </c>
      <c r="Z354" s="6">
        <f>IF(Table1[[#This Row],[Salary]]&gt;=600,82.5,0)</f>
        <v>82.5</v>
      </c>
    </row>
    <row r="355" spans="3:26" ht="15" customHeight="1">
      <c r="C355">
        <f>Table1[[#This Row],[Ref No]]</f>
        <v>0</v>
      </c>
      <c r="E355" s="4"/>
      <c r="F355" s="4"/>
      <c r="G355" s="4"/>
      <c r="H355" s="4"/>
      <c r="K355" s="4"/>
      <c r="O355" s="4"/>
      <c r="Q355" t="str">
        <f t="shared" ca="1" si="30"/>
        <v>Claimable</v>
      </c>
      <c r="R355">
        <f ca="1">IF(Table3[[#This Row],[12 M Stat]]="Claimable",1,0)</f>
        <v>1</v>
      </c>
      <c r="S355">
        <f ca="1">Table3[[#This Row],[Placement claim Highlight]]+Table3[[#This Row],[Highlight rule 6M]]+Table3[[#This Row],[Highlight rule 12 M]]</f>
        <v>1</v>
      </c>
      <c r="T355" s="6">
        <f>SUM(Table3[[#This Row],[Placement Fee]:[Salary]])</f>
        <v>0</v>
      </c>
      <c r="U355" s="6"/>
      <c r="V355" s="6">
        <f>IF(Table1[[#This Row],[MoL]]="Yes",55,0)</f>
        <v>0</v>
      </c>
      <c r="W355" s="6">
        <f>IF(Table1[[#This Row],[Long MoL +3 Years]]="Yes",137.5,0)</f>
        <v>0</v>
      </c>
      <c r="X355" s="6">
        <f>IF(Table1[[#This Row],[Gender]]="Female",137.5,0)</f>
        <v>0</v>
      </c>
      <c r="Y355" s="6">
        <f>IF(Table1[[#This Row],[Education]]="Bachelors +",55,0)</f>
        <v>0</v>
      </c>
      <c r="Z355" s="6">
        <f>IF(Table1[[#This Row],[Salary]]&gt;=600,82.5,0)</f>
        <v>0</v>
      </c>
    </row>
    <row r="356" spans="3:26" ht="15" customHeight="1">
      <c r="C356" t="str">
        <f>Table1[[#This Row],[Ref No]]</f>
        <v>JCP/25/172042</v>
      </c>
      <c r="E356" s="4"/>
      <c r="F356" s="4"/>
      <c r="G356" s="4"/>
      <c r="H356" s="4"/>
      <c r="K356" s="4"/>
      <c r="O356" s="4"/>
      <c r="Q356" t="str">
        <f t="shared" ca="1" si="30"/>
        <v>Claimable</v>
      </c>
      <c r="R356">
        <f ca="1">IF(Table3[[#This Row],[12 M Stat]]="Claimable",1,0)</f>
        <v>1</v>
      </c>
      <c r="S356">
        <f ca="1">Table3[[#This Row],[Placement claim Highlight]]+Table3[[#This Row],[Highlight rule 6M]]+Table3[[#This Row],[Highlight rule 12 M]]</f>
        <v>1</v>
      </c>
      <c r="T356" s="6">
        <f>SUM(Table3[[#This Row],[Placement Fee]:[Salary]])</f>
        <v>55</v>
      </c>
      <c r="U356" s="6"/>
      <c r="V356" s="6">
        <f>IF(Table1[[#This Row],[MoL]]="Yes",55,0)</f>
        <v>55</v>
      </c>
      <c r="W356" s="6">
        <f>IF(Table1[[#This Row],[Long MoL +3 Years]]="Yes",137.5,0)</f>
        <v>0</v>
      </c>
      <c r="X356" s="6">
        <f>IF(Table1[[#This Row],[Gender]]="Female",137.5,0)</f>
        <v>0</v>
      </c>
      <c r="Y356" s="6">
        <f>IF(Table1[[#This Row],[Education]]="Bachelors +",55,0)</f>
        <v>0</v>
      </c>
      <c r="Z356" s="6">
        <f>IF(Table1[[#This Row],[Salary]]&gt;=600,82.5,0)</f>
        <v>0</v>
      </c>
    </row>
    <row r="357" spans="3:26" ht="15" customHeight="1">
      <c r="C357" t="str">
        <f>Table1[[#This Row],[Ref No]]</f>
        <v>JCP/26/305935</v>
      </c>
      <c r="E357" s="4"/>
      <c r="F357" s="4"/>
      <c r="G357" s="4"/>
      <c r="H357" s="4"/>
      <c r="K357" s="4"/>
      <c r="O357" s="4"/>
      <c r="Q357" t="str">
        <f t="shared" ca="1" si="30"/>
        <v>Claimable</v>
      </c>
      <c r="R357">
        <f ca="1">IF(Table3[[#This Row],[12 M Stat]]="Claimable",1,0)</f>
        <v>1</v>
      </c>
      <c r="S357">
        <f ca="1">Table3[[#This Row],[Placement claim Highlight]]+Table3[[#This Row],[Highlight rule 6M]]+Table3[[#This Row],[Highlight rule 12 M]]</f>
        <v>1</v>
      </c>
      <c r="T357" s="6">
        <f>SUM(Table3[[#This Row],[Placement Fee]:[Salary]])</f>
        <v>275</v>
      </c>
      <c r="U357" s="6"/>
      <c r="V357" s="6">
        <f>IF(Table1[[#This Row],[MoL]]="Yes",55,0)</f>
        <v>0</v>
      </c>
      <c r="W357" s="6">
        <f>IF(Table1[[#This Row],[Long MoL +3 Years]]="Yes",137.5,0)</f>
        <v>0</v>
      </c>
      <c r="X357" s="6">
        <f>IF(Table1[[#This Row],[Gender]]="Female",137.5,0)</f>
        <v>137.5</v>
      </c>
      <c r="Y357" s="6">
        <f>IF(Table1[[#This Row],[Education]]="Bachelors +",55,0)</f>
        <v>55</v>
      </c>
      <c r="Z357" s="6">
        <f>IF(Table1[[#This Row],[Salary]]&gt;=600,82.5,0)</f>
        <v>82.5</v>
      </c>
    </row>
    <row r="358" spans="3:26" ht="15" customHeight="1">
      <c r="C358" t="str">
        <f>Table1[[#This Row],[Ref No]]</f>
        <v>JCP/26/293571</v>
      </c>
      <c r="E358" s="4"/>
      <c r="F358" s="4"/>
      <c r="G358" s="4"/>
      <c r="H358" s="4"/>
      <c r="K358" s="4"/>
      <c r="O358" s="4"/>
      <c r="Q358" t="str">
        <f t="shared" ca="1" si="30"/>
        <v>Claimable</v>
      </c>
      <c r="R358">
        <f ca="1">IF(Table3[[#This Row],[12 M Stat]]="Claimable",1,0)</f>
        <v>1</v>
      </c>
      <c r="S358">
        <f ca="1">Table3[[#This Row],[Placement claim Highlight]]+Table3[[#This Row],[Highlight rule 6M]]+Table3[[#This Row],[Highlight rule 12 M]]</f>
        <v>1</v>
      </c>
      <c r="T358" s="6">
        <f>SUM(Table3[[#This Row],[Placement Fee]:[Salary]])</f>
        <v>330</v>
      </c>
      <c r="U358" s="6"/>
      <c r="V358" s="6">
        <f>IF(Table1[[#This Row],[MoL]]="Yes",55,0)</f>
        <v>55</v>
      </c>
      <c r="W358" s="6">
        <f>IF(Table1[[#This Row],[Long MoL +3 Years]]="Yes",137.5,0)</f>
        <v>137.5</v>
      </c>
      <c r="X358" s="6">
        <f>IF(Table1[[#This Row],[Gender]]="Female",137.5,0)</f>
        <v>137.5</v>
      </c>
      <c r="Y358" s="6">
        <f>IF(Table1[[#This Row],[Education]]="Bachelors +",55,0)</f>
        <v>0</v>
      </c>
      <c r="Z358" s="6">
        <f>IF(Table1[[#This Row],[Salary]]&gt;=600,82.5,0)</f>
        <v>0</v>
      </c>
    </row>
    <row r="359" spans="3:26" ht="15" customHeight="1">
      <c r="C359" t="str">
        <f>Table1[[#This Row],[Ref No]]</f>
        <v>JCP/26/335568</v>
      </c>
      <c r="E359" s="4"/>
      <c r="F359" s="4"/>
      <c r="G359" s="4"/>
      <c r="H359" s="4"/>
      <c r="K359" s="4"/>
      <c r="O359" s="4"/>
      <c r="Q359" t="str">
        <f t="shared" ca="1" si="30"/>
        <v>Claimable</v>
      </c>
      <c r="R359">
        <f ca="1">IF(Table3[[#This Row],[12 M Stat]]="Claimable",1,0)</f>
        <v>1</v>
      </c>
      <c r="S359">
        <f ca="1">Table3[[#This Row],[Placement claim Highlight]]+Table3[[#This Row],[Highlight rule 6M]]+Table3[[#This Row],[Highlight rule 12 M]]</f>
        <v>1</v>
      </c>
      <c r="T359" s="6">
        <f>SUM(Table3[[#This Row],[Placement Fee]:[Salary]])</f>
        <v>247.5</v>
      </c>
      <c r="U359" s="6"/>
      <c r="V359" s="6">
        <f>IF(Table1[[#This Row],[MoL]]="Yes",55,0)</f>
        <v>55</v>
      </c>
      <c r="W359" s="6">
        <f>IF(Table1[[#This Row],[Long MoL +3 Years]]="Yes",137.5,0)</f>
        <v>0</v>
      </c>
      <c r="X359" s="6">
        <f>IF(Table1[[#This Row],[Gender]]="Female",137.5,0)</f>
        <v>137.5</v>
      </c>
      <c r="Y359" s="6">
        <f>IF(Table1[[#This Row],[Education]]="Bachelors +",55,0)</f>
        <v>55</v>
      </c>
      <c r="Z359" s="6">
        <f>IF(Table1[[#This Row],[Salary]]&gt;=600,82.5,0)</f>
        <v>0</v>
      </c>
    </row>
    <row r="360" spans="3:26" ht="15" customHeight="1">
      <c r="C360" t="str">
        <f>Table1[[#This Row],[Ref No]]</f>
        <v>JCP/26/303162</v>
      </c>
      <c r="E360" s="4"/>
      <c r="F360" s="4"/>
      <c r="G360" s="4"/>
      <c r="H360" s="4"/>
      <c r="K360" s="4"/>
      <c r="O360" s="4"/>
      <c r="Q360" t="str">
        <f t="shared" ca="1" si="30"/>
        <v>Claimable</v>
      </c>
      <c r="R360">
        <f ca="1">IF(Table3[[#This Row],[12 M Stat]]="Claimable",1,0)</f>
        <v>1</v>
      </c>
      <c r="S360">
        <f ca="1">Table3[[#This Row],[Placement claim Highlight]]+Table3[[#This Row],[Highlight rule 6M]]+Table3[[#This Row],[Highlight rule 12 M]]</f>
        <v>1</v>
      </c>
      <c r="T360" s="6">
        <f>SUM(Table3[[#This Row],[Placement Fee]:[Salary]])</f>
        <v>247.5</v>
      </c>
      <c r="U360" s="6"/>
      <c r="V360" s="6">
        <f>IF(Table1[[#This Row],[MoL]]="Yes",55,0)</f>
        <v>55</v>
      </c>
      <c r="W360" s="6">
        <f>IF(Table1[[#This Row],[Long MoL +3 Years]]="Yes",137.5,0)</f>
        <v>0</v>
      </c>
      <c r="X360" s="6">
        <f>IF(Table1[[#This Row],[Gender]]="Female",137.5,0)</f>
        <v>137.5</v>
      </c>
      <c r="Y360" s="6">
        <f>IF(Table1[[#This Row],[Education]]="Bachelors +",55,0)</f>
        <v>55</v>
      </c>
      <c r="Z360" s="6">
        <f>IF(Table1[[#This Row],[Salary]]&gt;=600,82.5,0)</f>
        <v>0</v>
      </c>
    </row>
    <row r="361" spans="3:26" ht="15" customHeight="1">
      <c r="C361" t="str">
        <f>Table1[[#This Row],[Ref No]]</f>
        <v>JCP/26/346767</v>
      </c>
      <c r="E361" s="4"/>
      <c r="F361" s="4"/>
      <c r="G361" s="4"/>
      <c r="H361" s="4"/>
      <c r="K361" s="4"/>
      <c r="O361" s="4"/>
      <c r="Q361" t="str">
        <f t="shared" ca="1" si="30"/>
        <v>Claimable</v>
      </c>
      <c r="R361">
        <f ca="1">IF(Table3[[#This Row],[12 M Stat]]="Claimable",1,0)</f>
        <v>1</v>
      </c>
      <c r="S361">
        <f ca="1">Table3[[#This Row],[Placement claim Highlight]]+Table3[[#This Row],[Highlight rule 6M]]+Table3[[#This Row],[Highlight rule 12 M]]</f>
        <v>1</v>
      </c>
      <c r="T361" s="6">
        <f>SUM(Table3[[#This Row],[Placement Fee]:[Salary]])</f>
        <v>137.5</v>
      </c>
      <c r="U361" s="6"/>
      <c r="V361" s="6">
        <f>IF(Table1[[#This Row],[MoL]]="Yes",55,0)</f>
        <v>0</v>
      </c>
      <c r="W361" s="6">
        <f>IF(Table1[[#This Row],[Long MoL +3 Years]]="Yes",137.5,0)</f>
        <v>0</v>
      </c>
      <c r="X361" s="6">
        <f>IF(Table1[[#This Row],[Gender]]="Female",137.5,0)</f>
        <v>0</v>
      </c>
      <c r="Y361" s="6">
        <f>IF(Table1[[#This Row],[Education]]="Bachelors +",55,0)</f>
        <v>55</v>
      </c>
      <c r="Z361" s="6">
        <f>IF(Table1[[#This Row],[Salary]]&gt;=600,82.5,0)</f>
        <v>82.5</v>
      </c>
    </row>
    <row r="362" spans="3:26" ht="15" customHeight="1">
      <c r="C362" t="str">
        <f>Table1[[#This Row],[Ref No]]</f>
        <v>JCP/26/288724</v>
      </c>
      <c r="E362" s="4"/>
      <c r="F362" s="4"/>
      <c r="G362" s="4"/>
      <c r="H362" s="4"/>
      <c r="K362" s="4"/>
      <c r="O362" s="4"/>
      <c r="Q362" t="str">
        <f t="shared" ref="Q362:Q379" ca="1" si="31">IF(AND(P362="", O362&lt;=TODAY()), "Claimable", "")</f>
        <v>Claimable</v>
      </c>
      <c r="R362">
        <f ca="1">IF(Table3[[#This Row],[12 M Stat]]="Claimable",1,0)</f>
        <v>1</v>
      </c>
      <c r="S362">
        <f ca="1">Table3[[#This Row],[Placement claim Highlight]]+Table3[[#This Row],[Highlight rule 6M]]+Table3[[#This Row],[Highlight rule 12 M]]</f>
        <v>1</v>
      </c>
      <c r="T362" s="6">
        <f>SUM(Table3[[#This Row],[Placement Fee]:[Salary]])</f>
        <v>0</v>
      </c>
      <c r="U362" s="6"/>
      <c r="V362" s="6">
        <f>IF(Table1[[#This Row],[MoL]]="Yes",55,0)</f>
        <v>0</v>
      </c>
      <c r="W362" s="6">
        <f>IF(Table1[[#This Row],[Long MoL +3 Years]]="Yes",137.5,0)</f>
        <v>0</v>
      </c>
      <c r="X362" s="6">
        <f>IF(Table1[[#This Row],[Gender]]="Female",137.5,0)</f>
        <v>0</v>
      </c>
      <c r="Y362" s="6">
        <f>IF(Table1[[#This Row],[Education]]="Bachelors +",55,0)</f>
        <v>0</v>
      </c>
      <c r="Z362" s="6">
        <f>IF(Table1[[#This Row],[Salary]]&gt;=600,82.5,0)</f>
        <v>0</v>
      </c>
    </row>
    <row r="363" spans="3:26" ht="15" customHeight="1">
      <c r="C363" t="e">
        <f>Table1[[#This Row],[Ref No]]</f>
        <v>#VALUE!</v>
      </c>
      <c r="E363" s="4"/>
      <c r="F363" s="4"/>
      <c r="G363" s="4"/>
      <c r="H363" s="4"/>
      <c r="K363" s="4"/>
      <c r="O363" s="4"/>
      <c r="Q363" t="str">
        <f t="shared" ca="1" si="31"/>
        <v>Claimable</v>
      </c>
      <c r="R363">
        <f ca="1">IF(Table3[[#This Row],[12 M Stat]]="Claimable",1,0)</f>
        <v>1</v>
      </c>
      <c r="S363">
        <f ca="1">Table3[[#This Row],[Placement claim Highlight]]+Table3[[#This Row],[Highlight rule 6M]]+Table3[[#This Row],[Highlight rule 12 M]]</f>
        <v>1</v>
      </c>
      <c r="T363" s="6" t="e">
        <f>SUM(Table3[[#This Row],[Placement Fee]:[Salary]])</f>
        <v>#VALUE!</v>
      </c>
      <c r="U363" s="6"/>
      <c r="V363" s="6" t="e">
        <f>IF(Table1[[#This Row],[MoL]]="Yes",55,0)</f>
        <v>#VALUE!</v>
      </c>
      <c r="W363" s="6" t="e">
        <f>IF(Table1[[#This Row],[Long MoL +3 Years]]="Yes",137.5,0)</f>
        <v>#VALUE!</v>
      </c>
      <c r="X363" s="6" t="e">
        <f>IF(Table1[[#This Row],[Gender]]="Female",137.5,0)</f>
        <v>#VALUE!</v>
      </c>
      <c r="Y363" s="6" t="e">
        <f>IF(Table1[[#This Row],[Education]]="Bachelors +",55,0)</f>
        <v>#VALUE!</v>
      </c>
      <c r="Z363" s="6" t="e">
        <f>IF(Table1[[#This Row],[Salary]]&gt;=600,82.5,0)</f>
        <v>#VALUE!</v>
      </c>
    </row>
    <row r="364" spans="3:26" ht="15" customHeight="1">
      <c r="C364" t="e">
        <f>Table1[[#This Row],[Ref No]]</f>
        <v>#VALUE!</v>
      </c>
      <c r="E364" s="4"/>
      <c r="F364" s="4"/>
      <c r="G364" s="4"/>
      <c r="H364" s="4"/>
      <c r="K364" s="4"/>
      <c r="O364" s="4"/>
      <c r="Q364" t="str">
        <f t="shared" ca="1" si="31"/>
        <v>Claimable</v>
      </c>
      <c r="R364">
        <f ca="1">IF(Table3[[#This Row],[12 M Stat]]="Claimable",1,0)</f>
        <v>1</v>
      </c>
      <c r="S364">
        <f ca="1">Table3[[#This Row],[Placement claim Highlight]]+Table3[[#This Row],[Highlight rule 6M]]+Table3[[#This Row],[Highlight rule 12 M]]</f>
        <v>1</v>
      </c>
      <c r="T364" s="6" t="e">
        <f>SUM(Table3[[#This Row],[Placement Fee]:[Salary]])</f>
        <v>#VALUE!</v>
      </c>
      <c r="U364" s="6"/>
      <c r="V364" s="6" t="e">
        <f>IF(Table1[[#This Row],[MoL]]="Yes",55,0)</f>
        <v>#VALUE!</v>
      </c>
      <c r="W364" s="6" t="e">
        <f>IF(Table1[[#This Row],[Long MoL +3 Years]]="Yes",137.5,0)</f>
        <v>#VALUE!</v>
      </c>
      <c r="X364" s="6" t="e">
        <f>IF(Table1[[#This Row],[Gender]]="Female",137.5,0)</f>
        <v>#VALUE!</v>
      </c>
      <c r="Y364" s="6" t="e">
        <f>IF(Table1[[#This Row],[Education]]="Bachelors +",55,0)</f>
        <v>#VALUE!</v>
      </c>
      <c r="Z364" s="6" t="e">
        <f>IF(Table1[[#This Row],[Salary]]&gt;=600,82.5,0)</f>
        <v>#VALUE!</v>
      </c>
    </row>
    <row r="365" spans="3:26" ht="15" customHeight="1">
      <c r="C365" t="e">
        <f>Table1[[#This Row],[Ref No]]</f>
        <v>#VALUE!</v>
      </c>
      <c r="E365" s="4"/>
      <c r="F365" s="4"/>
      <c r="G365" s="4"/>
      <c r="H365" s="4"/>
      <c r="K365" s="4"/>
      <c r="O365" s="4"/>
      <c r="Q365" t="str">
        <f t="shared" ca="1" si="31"/>
        <v>Claimable</v>
      </c>
      <c r="R365">
        <f ca="1">IF(Table3[[#This Row],[12 M Stat]]="Claimable",1,0)</f>
        <v>1</v>
      </c>
      <c r="S365">
        <f ca="1">Table3[[#This Row],[Placement claim Highlight]]+Table3[[#This Row],[Highlight rule 6M]]+Table3[[#This Row],[Highlight rule 12 M]]</f>
        <v>1</v>
      </c>
      <c r="T365" s="6" t="e">
        <f>SUM(Table3[[#This Row],[Placement Fee]:[Salary]])</f>
        <v>#VALUE!</v>
      </c>
      <c r="U365" s="6"/>
      <c r="V365" s="6" t="e">
        <f>IF(Table1[[#This Row],[MoL]]="Yes",55,0)</f>
        <v>#VALUE!</v>
      </c>
      <c r="W365" s="6" t="e">
        <f>IF(Table1[[#This Row],[Long MoL +3 Years]]="Yes",137.5,0)</f>
        <v>#VALUE!</v>
      </c>
      <c r="X365" s="6" t="e">
        <f>IF(Table1[[#This Row],[Gender]]="Female",137.5,0)</f>
        <v>#VALUE!</v>
      </c>
      <c r="Y365" s="6" t="e">
        <f>IF(Table1[[#This Row],[Education]]="Bachelors +",55,0)</f>
        <v>#VALUE!</v>
      </c>
      <c r="Z365" s="6" t="e">
        <f>IF(Table1[[#This Row],[Salary]]&gt;=600,82.5,0)</f>
        <v>#VALUE!</v>
      </c>
    </row>
    <row r="366" spans="3:26" ht="15" customHeight="1">
      <c r="C366" t="e">
        <f>Table1[[#This Row],[Ref No]]</f>
        <v>#VALUE!</v>
      </c>
      <c r="E366" s="4"/>
      <c r="F366" s="4"/>
      <c r="G366" s="4"/>
      <c r="H366" s="4"/>
      <c r="K366" s="4"/>
      <c r="O366" s="4"/>
      <c r="Q366" t="str">
        <f t="shared" ca="1" si="31"/>
        <v>Claimable</v>
      </c>
      <c r="R366">
        <f ca="1">IF(Table3[[#This Row],[12 M Stat]]="Claimable",1,0)</f>
        <v>1</v>
      </c>
      <c r="S366">
        <f ca="1">Table3[[#This Row],[Placement claim Highlight]]+Table3[[#This Row],[Highlight rule 6M]]+Table3[[#This Row],[Highlight rule 12 M]]</f>
        <v>1</v>
      </c>
      <c r="T366" s="6" t="e">
        <f>SUM(Table3[[#This Row],[Placement Fee]:[Salary]])</f>
        <v>#VALUE!</v>
      </c>
      <c r="U366" s="6"/>
      <c r="V366" s="6" t="e">
        <f>IF(Table1[[#This Row],[MoL]]="Yes",55,0)</f>
        <v>#VALUE!</v>
      </c>
      <c r="W366" s="6" t="e">
        <f>IF(Table1[[#This Row],[Long MoL +3 Years]]="Yes",137.5,0)</f>
        <v>#VALUE!</v>
      </c>
      <c r="X366" s="6" t="e">
        <f>IF(Table1[[#This Row],[Gender]]="Female",137.5,0)</f>
        <v>#VALUE!</v>
      </c>
      <c r="Y366" s="6" t="e">
        <f>IF(Table1[[#This Row],[Education]]="Bachelors +",55,0)</f>
        <v>#VALUE!</v>
      </c>
      <c r="Z366" s="6" t="e">
        <f>IF(Table1[[#This Row],[Salary]]&gt;=600,82.5,0)</f>
        <v>#VALUE!</v>
      </c>
    </row>
    <row r="367" spans="3:26" ht="15" customHeight="1">
      <c r="C367" t="e">
        <f>Table1[[#This Row],[Ref No]]</f>
        <v>#VALUE!</v>
      </c>
      <c r="E367" s="4"/>
      <c r="F367" s="4"/>
      <c r="G367" s="4"/>
      <c r="H367" s="4"/>
      <c r="K367" s="4"/>
      <c r="O367" s="4"/>
      <c r="Q367" t="str">
        <f t="shared" ca="1" si="31"/>
        <v>Claimable</v>
      </c>
      <c r="R367">
        <f ca="1">IF(Table3[[#This Row],[12 M Stat]]="Claimable",1,0)</f>
        <v>1</v>
      </c>
      <c r="S367">
        <f ca="1">Table3[[#This Row],[Placement claim Highlight]]+Table3[[#This Row],[Highlight rule 6M]]+Table3[[#This Row],[Highlight rule 12 M]]</f>
        <v>1</v>
      </c>
      <c r="T367" s="6" t="e">
        <f>SUM(Table3[[#This Row],[Placement Fee]:[Salary]])</f>
        <v>#VALUE!</v>
      </c>
      <c r="U367" s="6"/>
      <c r="V367" s="6" t="e">
        <f>IF(Table1[[#This Row],[MoL]]="Yes",55,0)</f>
        <v>#VALUE!</v>
      </c>
      <c r="W367" s="6" t="e">
        <f>IF(Table1[[#This Row],[Long MoL +3 Years]]="Yes",137.5,0)</f>
        <v>#VALUE!</v>
      </c>
      <c r="X367" s="6" t="e">
        <f>IF(Table1[[#This Row],[Gender]]="Female",137.5,0)</f>
        <v>#VALUE!</v>
      </c>
      <c r="Y367" s="6" t="e">
        <f>IF(Table1[[#This Row],[Education]]="Bachelors +",55,0)</f>
        <v>#VALUE!</v>
      </c>
      <c r="Z367" s="6" t="e">
        <f>IF(Table1[[#This Row],[Salary]]&gt;=600,82.5,0)</f>
        <v>#VALUE!</v>
      </c>
    </row>
    <row r="368" spans="3:26" ht="15" customHeight="1">
      <c r="C368" t="e">
        <f>Table1[[#This Row],[Ref No]]</f>
        <v>#VALUE!</v>
      </c>
      <c r="E368" s="4"/>
      <c r="F368" s="4"/>
      <c r="G368" s="4"/>
      <c r="H368" s="4"/>
      <c r="K368" s="4"/>
      <c r="O368" s="4"/>
      <c r="Q368" t="str">
        <f t="shared" ca="1" si="31"/>
        <v>Claimable</v>
      </c>
      <c r="R368">
        <f ca="1">IF(Table3[[#This Row],[12 M Stat]]="Claimable",1,0)</f>
        <v>1</v>
      </c>
      <c r="S368">
        <f ca="1">Table3[[#This Row],[Placement claim Highlight]]+Table3[[#This Row],[Highlight rule 6M]]+Table3[[#This Row],[Highlight rule 12 M]]</f>
        <v>1</v>
      </c>
      <c r="T368" s="6" t="e">
        <f>SUM(Table3[[#This Row],[Placement Fee]:[Salary]])</f>
        <v>#VALUE!</v>
      </c>
      <c r="U368" s="6"/>
      <c r="V368" s="6" t="e">
        <f>IF(Table1[[#This Row],[MoL]]="Yes",55,0)</f>
        <v>#VALUE!</v>
      </c>
      <c r="W368" s="6" t="e">
        <f>IF(Table1[[#This Row],[Long MoL +3 Years]]="Yes",137.5,0)</f>
        <v>#VALUE!</v>
      </c>
      <c r="X368" s="6" t="e">
        <f>IF(Table1[[#This Row],[Gender]]="Female",137.5,0)</f>
        <v>#VALUE!</v>
      </c>
      <c r="Y368" s="6" t="e">
        <f>IF(Table1[[#This Row],[Education]]="Bachelors +",55,0)</f>
        <v>#VALUE!</v>
      </c>
      <c r="Z368" s="6" t="e">
        <f>IF(Table1[[#This Row],[Salary]]&gt;=600,82.5,0)</f>
        <v>#VALUE!</v>
      </c>
    </row>
    <row r="369" spans="3:26" ht="15" customHeight="1">
      <c r="C369" t="e">
        <f>Table1[[#This Row],[Ref No]]</f>
        <v>#VALUE!</v>
      </c>
      <c r="E369" s="4"/>
      <c r="F369" s="4"/>
      <c r="G369" s="4"/>
      <c r="H369" s="4"/>
      <c r="K369" s="4"/>
      <c r="O369" s="4"/>
      <c r="Q369" t="str">
        <f t="shared" ca="1" si="31"/>
        <v>Claimable</v>
      </c>
      <c r="R369">
        <f ca="1">IF(Table3[[#This Row],[12 M Stat]]="Claimable",1,0)</f>
        <v>1</v>
      </c>
      <c r="S369">
        <f ca="1">Table3[[#This Row],[Placement claim Highlight]]+Table3[[#This Row],[Highlight rule 6M]]+Table3[[#This Row],[Highlight rule 12 M]]</f>
        <v>1</v>
      </c>
      <c r="T369" s="6" t="e">
        <f>SUM(Table3[[#This Row],[Placement Fee]:[Salary]])</f>
        <v>#VALUE!</v>
      </c>
      <c r="U369" s="6"/>
      <c r="V369" s="6" t="e">
        <f>IF(Table1[[#This Row],[MoL]]="Yes",55,0)</f>
        <v>#VALUE!</v>
      </c>
      <c r="W369" s="6" t="e">
        <f>IF(Table1[[#This Row],[Long MoL +3 Years]]="Yes",137.5,0)</f>
        <v>#VALUE!</v>
      </c>
      <c r="X369" s="6" t="e">
        <f>IF(Table1[[#This Row],[Gender]]="Female",137.5,0)</f>
        <v>#VALUE!</v>
      </c>
      <c r="Y369" s="6" t="e">
        <f>IF(Table1[[#This Row],[Education]]="Bachelors +",55,0)</f>
        <v>#VALUE!</v>
      </c>
      <c r="Z369" s="6" t="e">
        <f>IF(Table1[[#This Row],[Salary]]&gt;=600,82.5,0)</f>
        <v>#VALUE!</v>
      </c>
    </row>
    <row r="370" spans="3:26" ht="15" customHeight="1">
      <c r="C370" t="e">
        <f>Table1[[#This Row],[Ref No]]</f>
        <v>#VALUE!</v>
      </c>
      <c r="E370" s="4"/>
      <c r="F370" s="4"/>
      <c r="G370" s="4"/>
      <c r="H370" s="4"/>
      <c r="K370" s="4"/>
      <c r="O370" s="4"/>
      <c r="Q370" t="str">
        <f t="shared" ca="1" si="31"/>
        <v>Claimable</v>
      </c>
      <c r="R370">
        <f ca="1">IF(Table3[[#This Row],[12 M Stat]]="Claimable",1,0)</f>
        <v>1</v>
      </c>
      <c r="S370">
        <f ca="1">Table3[[#This Row],[Placement claim Highlight]]+Table3[[#This Row],[Highlight rule 6M]]+Table3[[#This Row],[Highlight rule 12 M]]</f>
        <v>1</v>
      </c>
      <c r="T370" s="6" t="e">
        <f>SUM(Table3[[#This Row],[Placement Fee]:[Salary]])</f>
        <v>#VALUE!</v>
      </c>
      <c r="U370" s="6"/>
      <c r="V370" s="6" t="e">
        <f>IF(Table1[[#This Row],[MoL]]="Yes",55,0)</f>
        <v>#VALUE!</v>
      </c>
      <c r="W370" s="6" t="e">
        <f>IF(Table1[[#This Row],[Long MoL +3 Years]]="Yes",137.5,0)</f>
        <v>#VALUE!</v>
      </c>
      <c r="X370" s="6" t="e">
        <f>IF(Table1[[#This Row],[Gender]]="Female",137.5,0)</f>
        <v>#VALUE!</v>
      </c>
      <c r="Y370" s="6" t="e">
        <f>IF(Table1[[#This Row],[Education]]="Bachelors +",55,0)</f>
        <v>#VALUE!</v>
      </c>
      <c r="Z370" s="6" t="e">
        <f>IF(Table1[[#This Row],[Salary]]&gt;=600,82.5,0)</f>
        <v>#VALUE!</v>
      </c>
    </row>
    <row r="371" spans="3:26" ht="15" customHeight="1">
      <c r="C371" t="e">
        <f>Table1[[#This Row],[Ref No]]</f>
        <v>#VALUE!</v>
      </c>
      <c r="E371" s="4"/>
      <c r="F371" s="4"/>
      <c r="G371" s="4"/>
      <c r="H371" s="4"/>
      <c r="K371" s="4"/>
      <c r="O371" s="4"/>
      <c r="Q371" t="str">
        <f t="shared" ca="1" si="31"/>
        <v>Claimable</v>
      </c>
      <c r="R371">
        <f ca="1">IF(Table3[[#This Row],[12 M Stat]]="Claimable",1,0)</f>
        <v>1</v>
      </c>
      <c r="S371">
        <f ca="1">Table3[[#This Row],[Placement claim Highlight]]+Table3[[#This Row],[Highlight rule 6M]]+Table3[[#This Row],[Highlight rule 12 M]]</f>
        <v>1</v>
      </c>
      <c r="T371" s="6" t="e">
        <f>SUM(Table3[[#This Row],[Placement Fee]:[Salary]])</f>
        <v>#VALUE!</v>
      </c>
      <c r="U371" s="6"/>
      <c r="V371" s="6" t="e">
        <f>IF(Table1[[#This Row],[MoL]]="Yes",55,0)</f>
        <v>#VALUE!</v>
      </c>
      <c r="W371" s="6" t="e">
        <f>IF(Table1[[#This Row],[Long MoL +3 Years]]="Yes",137.5,0)</f>
        <v>#VALUE!</v>
      </c>
      <c r="X371" s="6" t="e">
        <f>IF(Table1[[#This Row],[Gender]]="Female",137.5,0)</f>
        <v>#VALUE!</v>
      </c>
      <c r="Y371" s="6" t="e">
        <f>IF(Table1[[#This Row],[Education]]="Bachelors +",55,0)</f>
        <v>#VALUE!</v>
      </c>
      <c r="Z371" s="6" t="e">
        <f>IF(Table1[[#This Row],[Salary]]&gt;=600,82.5,0)</f>
        <v>#VALUE!</v>
      </c>
    </row>
    <row r="372" spans="3:26" ht="15" customHeight="1">
      <c r="C372" t="e">
        <f>Table1[[#This Row],[Ref No]]</f>
        <v>#VALUE!</v>
      </c>
      <c r="E372" s="4"/>
      <c r="F372" s="4"/>
      <c r="G372" s="4"/>
      <c r="H372" s="4"/>
      <c r="K372" s="4"/>
      <c r="O372" s="4"/>
      <c r="Q372" t="str">
        <f t="shared" ca="1" si="31"/>
        <v>Claimable</v>
      </c>
      <c r="R372">
        <f ca="1">IF(Table3[[#This Row],[12 M Stat]]="Claimable",1,0)</f>
        <v>1</v>
      </c>
      <c r="S372">
        <f ca="1">Table3[[#This Row],[Placement claim Highlight]]+Table3[[#This Row],[Highlight rule 6M]]+Table3[[#This Row],[Highlight rule 12 M]]</f>
        <v>1</v>
      </c>
      <c r="T372" s="6" t="e">
        <f>SUM(Table3[[#This Row],[Placement Fee]:[Salary]])</f>
        <v>#VALUE!</v>
      </c>
      <c r="U372" s="6"/>
      <c r="V372" s="6" t="e">
        <f>IF(Table1[[#This Row],[MoL]]="Yes",55,0)</f>
        <v>#VALUE!</v>
      </c>
      <c r="W372" s="6" t="e">
        <f>IF(Table1[[#This Row],[Long MoL +3 Years]]="Yes",137.5,0)</f>
        <v>#VALUE!</v>
      </c>
      <c r="X372" s="6" t="e">
        <f>IF(Table1[[#This Row],[Gender]]="Female",137.5,0)</f>
        <v>#VALUE!</v>
      </c>
      <c r="Y372" s="6" t="e">
        <f>IF(Table1[[#This Row],[Education]]="Bachelors +",55,0)</f>
        <v>#VALUE!</v>
      </c>
      <c r="Z372" s="6" t="e">
        <f>IF(Table1[[#This Row],[Salary]]&gt;=600,82.5,0)</f>
        <v>#VALUE!</v>
      </c>
    </row>
    <row r="373" spans="3:26" ht="15" customHeight="1">
      <c r="C373" t="e">
        <f>Table1[[#This Row],[Ref No]]</f>
        <v>#VALUE!</v>
      </c>
      <c r="E373" s="4"/>
      <c r="F373" s="4"/>
      <c r="G373" s="4"/>
      <c r="H373" s="4"/>
      <c r="K373" s="4"/>
      <c r="O373" s="4"/>
      <c r="Q373" t="str">
        <f t="shared" ca="1" si="31"/>
        <v>Claimable</v>
      </c>
      <c r="R373">
        <f ca="1">IF(Table3[[#This Row],[12 M Stat]]="Claimable",1,0)</f>
        <v>1</v>
      </c>
      <c r="S373">
        <f ca="1">Table3[[#This Row],[Placement claim Highlight]]+Table3[[#This Row],[Highlight rule 6M]]+Table3[[#This Row],[Highlight rule 12 M]]</f>
        <v>1</v>
      </c>
      <c r="T373" s="6" t="e">
        <f>SUM(Table3[[#This Row],[Placement Fee]:[Salary]])</f>
        <v>#VALUE!</v>
      </c>
      <c r="U373" s="6"/>
      <c r="V373" s="6" t="e">
        <f>IF(Table1[[#This Row],[MoL]]="Yes",55,0)</f>
        <v>#VALUE!</v>
      </c>
      <c r="W373" s="6" t="e">
        <f>IF(Table1[[#This Row],[Long MoL +3 Years]]="Yes",137.5,0)</f>
        <v>#VALUE!</v>
      </c>
      <c r="X373" s="6" t="e">
        <f>IF(Table1[[#This Row],[Gender]]="Female",137.5,0)</f>
        <v>#VALUE!</v>
      </c>
      <c r="Y373" s="6" t="e">
        <f>IF(Table1[[#This Row],[Education]]="Bachelors +",55,0)</f>
        <v>#VALUE!</v>
      </c>
      <c r="Z373" s="6" t="e">
        <f>IF(Table1[[#This Row],[Salary]]&gt;=600,82.5,0)</f>
        <v>#VALUE!</v>
      </c>
    </row>
    <row r="374" spans="3:26" ht="15" customHeight="1">
      <c r="C374" t="e">
        <f>Table1[[#This Row],[Ref No]]</f>
        <v>#VALUE!</v>
      </c>
      <c r="E374" s="4"/>
      <c r="F374" s="4"/>
      <c r="G374" s="4"/>
      <c r="H374" s="4"/>
      <c r="K374" s="4"/>
      <c r="O374" s="4"/>
      <c r="Q374" t="str">
        <f t="shared" ca="1" si="31"/>
        <v>Claimable</v>
      </c>
      <c r="R374">
        <f ca="1">IF(Table3[[#This Row],[12 M Stat]]="Claimable",1,0)</f>
        <v>1</v>
      </c>
      <c r="S374">
        <f ca="1">Table3[[#This Row],[Placement claim Highlight]]+Table3[[#This Row],[Highlight rule 6M]]+Table3[[#This Row],[Highlight rule 12 M]]</f>
        <v>1</v>
      </c>
      <c r="T374" s="6" t="e">
        <f>SUM(Table3[[#This Row],[Placement Fee]:[Salary]])</f>
        <v>#VALUE!</v>
      </c>
      <c r="U374" s="6"/>
      <c r="V374" s="6" t="e">
        <f>IF(Table1[[#This Row],[MoL]]="Yes",55,0)</f>
        <v>#VALUE!</v>
      </c>
      <c r="W374" s="6" t="e">
        <f>IF(Table1[[#This Row],[Long MoL +3 Years]]="Yes",137.5,0)</f>
        <v>#VALUE!</v>
      </c>
      <c r="X374" s="6" t="e">
        <f>IF(Table1[[#This Row],[Gender]]="Female",137.5,0)</f>
        <v>#VALUE!</v>
      </c>
      <c r="Y374" s="6" t="e">
        <f>IF(Table1[[#This Row],[Education]]="Bachelors +",55,0)</f>
        <v>#VALUE!</v>
      </c>
      <c r="Z374" s="6" t="e">
        <f>IF(Table1[[#This Row],[Salary]]&gt;=600,82.5,0)</f>
        <v>#VALUE!</v>
      </c>
    </row>
    <row r="375" spans="3:26" ht="15" customHeight="1">
      <c r="C375" t="e">
        <f>Table1[[#This Row],[Ref No]]</f>
        <v>#VALUE!</v>
      </c>
      <c r="E375" s="4"/>
      <c r="F375" s="4"/>
      <c r="G375" s="4"/>
      <c r="H375" s="4"/>
      <c r="K375" s="4"/>
      <c r="O375" s="4"/>
      <c r="Q375" t="str">
        <f t="shared" ca="1" si="31"/>
        <v>Claimable</v>
      </c>
      <c r="R375">
        <f ca="1">IF(Table3[[#This Row],[12 M Stat]]="Claimable",1,0)</f>
        <v>1</v>
      </c>
      <c r="S375">
        <f ca="1">Table3[[#This Row],[Placement claim Highlight]]+Table3[[#This Row],[Highlight rule 6M]]+Table3[[#This Row],[Highlight rule 12 M]]</f>
        <v>1</v>
      </c>
      <c r="T375" s="6" t="e">
        <f>SUM(Table3[[#This Row],[Placement Fee]:[Salary]])</f>
        <v>#VALUE!</v>
      </c>
      <c r="U375" s="6"/>
      <c r="V375" s="6" t="e">
        <f>IF(Table1[[#This Row],[MoL]]="Yes",55,0)</f>
        <v>#VALUE!</v>
      </c>
      <c r="W375" s="6" t="e">
        <f>IF(Table1[[#This Row],[Long MoL +3 Years]]="Yes",137.5,0)</f>
        <v>#VALUE!</v>
      </c>
      <c r="X375" s="6" t="e">
        <f>IF(Table1[[#This Row],[Gender]]="Female",137.5,0)</f>
        <v>#VALUE!</v>
      </c>
      <c r="Y375" s="6" t="e">
        <f>IF(Table1[[#This Row],[Education]]="Bachelors +",55,0)</f>
        <v>#VALUE!</v>
      </c>
      <c r="Z375" s="6" t="e">
        <f>IF(Table1[[#This Row],[Salary]]&gt;=600,82.5,0)</f>
        <v>#VALUE!</v>
      </c>
    </row>
    <row r="376" spans="3:26" ht="15" customHeight="1">
      <c r="C376" t="e">
        <f>Table1[[#This Row],[Ref No]]</f>
        <v>#VALUE!</v>
      </c>
      <c r="E376" s="4"/>
      <c r="F376" s="4"/>
      <c r="G376" s="4"/>
      <c r="H376" s="4"/>
      <c r="K376" s="4"/>
      <c r="O376" s="4"/>
      <c r="Q376" t="str">
        <f t="shared" ca="1" si="31"/>
        <v>Claimable</v>
      </c>
      <c r="R376">
        <f ca="1">IF(Table3[[#This Row],[12 M Stat]]="Claimable",1,0)</f>
        <v>1</v>
      </c>
      <c r="S376">
        <f ca="1">Table3[[#This Row],[Placement claim Highlight]]+Table3[[#This Row],[Highlight rule 6M]]+Table3[[#This Row],[Highlight rule 12 M]]</f>
        <v>1</v>
      </c>
      <c r="T376" s="6" t="e">
        <f>SUM(Table3[[#This Row],[Placement Fee]:[Salary]])</f>
        <v>#VALUE!</v>
      </c>
      <c r="U376" s="6"/>
      <c r="V376" s="6" t="e">
        <f>IF(Table1[[#This Row],[MoL]]="Yes",55,0)</f>
        <v>#VALUE!</v>
      </c>
      <c r="W376" s="6" t="e">
        <f>IF(Table1[[#This Row],[Long MoL +3 Years]]="Yes",137.5,0)</f>
        <v>#VALUE!</v>
      </c>
      <c r="X376" s="6" t="e">
        <f>IF(Table1[[#This Row],[Gender]]="Female",137.5,0)</f>
        <v>#VALUE!</v>
      </c>
      <c r="Y376" s="6" t="e">
        <f>IF(Table1[[#This Row],[Education]]="Bachelors +",55,0)</f>
        <v>#VALUE!</v>
      </c>
      <c r="Z376" s="6" t="e">
        <f>IF(Table1[[#This Row],[Salary]]&gt;=600,82.5,0)</f>
        <v>#VALUE!</v>
      </c>
    </row>
    <row r="377" spans="3:26" ht="15" customHeight="1">
      <c r="C377" t="e">
        <f>Table1[[#This Row],[Ref No]]</f>
        <v>#VALUE!</v>
      </c>
      <c r="E377" s="4"/>
      <c r="F377" s="4"/>
      <c r="G377" s="4"/>
      <c r="H377" s="4"/>
      <c r="K377" s="4"/>
      <c r="O377" s="4"/>
      <c r="Q377" t="str">
        <f t="shared" ca="1" si="31"/>
        <v>Claimable</v>
      </c>
      <c r="R377">
        <f ca="1">IF(Table3[[#This Row],[12 M Stat]]="Claimable",1,0)</f>
        <v>1</v>
      </c>
      <c r="S377">
        <f ca="1">Table3[[#This Row],[Placement claim Highlight]]+Table3[[#This Row],[Highlight rule 6M]]+Table3[[#This Row],[Highlight rule 12 M]]</f>
        <v>1</v>
      </c>
      <c r="T377" s="6" t="e">
        <f>SUM(Table3[[#This Row],[Placement Fee]:[Salary]])</f>
        <v>#VALUE!</v>
      </c>
      <c r="U377" s="6"/>
      <c r="V377" s="6" t="e">
        <f>IF(Table1[[#This Row],[MoL]]="Yes",55,0)</f>
        <v>#VALUE!</v>
      </c>
      <c r="W377" s="6" t="e">
        <f>IF(Table1[[#This Row],[Long MoL +3 Years]]="Yes",137.5,0)</f>
        <v>#VALUE!</v>
      </c>
      <c r="X377" s="6" t="e">
        <f>IF(Table1[[#This Row],[Gender]]="Female",137.5,0)</f>
        <v>#VALUE!</v>
      </c>
      <c r="Y377" s="6" t="e">
        <f>IF(Table1[[#This Row],[Education]]="Bachelors +",55,0)</f>
        <v>#VALUE!</v>
      </c>
      <c r="Z377" s="6" t="e">
        <f>IF(Table1[[#This Row],[Salary]]&gt;=600,82.5,0)</f>
        <v>#VALUE!</v>
      </c>
    </row>
    <row r="378" spans="3:26" ht="15" customHeight="1">
      <c r="C378" t="e">
        <f>Table1[[#This Row],[Ref No]]</f>
        <v>#VALUE!</v>
      </c>
      <c r="E378" s="4"/>
      <c r="F378" s="4"/>
      <c r="G378" s="4"/>
      <c r="H378" s="4"/>
      <c r="K378" s="4"/>
      <c r="O378" s="4"/>
      <c r="Q378" t="str">
        <f t="shared" ca="1" si="31"/>
        <v>Claimable</v>
      </c>
      <c r="R378">
        <f ca="1">IF(Table3[[#This Row],[12 M Stat]]="Claimable",1,0)</f>
        <v>1</v>
      </c>
      <c r="S378">
        <f ca="1">Table3[[#This Row],[Placement claim Highlight]]+Table3[[#This Row],[Highlight rule 6M]]+Table3[[#This Row],[Highlight rule 12 M]]</f>
        <v>1</v>
      </c>
      <c r="T378" s="6" t="e">
        <f>SUM(Table3[[#This Row],[Placement Fee]:[Salary]])</f>
        <v>#VALUE!</v>
      </c>
      <c r="U378" s="6"/>
      <c r="V378" s="6" t="e">
        <f>IF(Table1[[#This Row],[MoL]]="Yes",55,0)</f>
        <v>#VALUE!</v>
      </c>
      <c r="W378" s="6" t="e">
        <f>IF(Table1[[#This Row],[Long MoL +3 Years]]="Yes",137.5,0)</f>
        <v>#VALUE!</v>
      </c>
      <c r="X378" s="6" t="e">
        <f>IF(Table1[[#This Row],[Gender]]="Female",137.5,0)</f>
        <v>#VALUE!</v>
      </c>
      <c r="Y378" s="6" t="e">
        <f>IF(Table1[[#This Row],[Education]]="Bachelors +",55,0)</f>
        <v>#VALUE!</v>
      </c>
      <c r="Z378" s="6" t="e">
        <f>IF(Table1[[#This Row],[Salary]]&gt;=600,82.5,0)</f>
        <v>#VALUE!</v>
      </c>
    </row>
    <row r="379" spans="3:26" ht="15" customHeight="1">
      <c r="C379" t="e">
        <f>Table1[[#This Row],[Ref No]]</f>
        <v>#VALUE!</v>
      </c>
      <c r="E379" s="4"/>
      <c r="F379" s="4"/>
      <c r="G379" s="4"/>
      <c r="H379" s="4"/>
      <c r="K379" s="4"/>
      <c r="O379" s="4"/>
      <c r="Q379" t="str">
        <f t="shared" ca="1" si="31"/>
        <v>Claimable</v>
      </c>
      <c r="R379">
        <f ca="1">IF(Table3[[#This Row],[12 M Stat]]="Claimable",1,0)</f>
        <v>1</v>
      </c>
      <c r="S379">
        <f ca="1">Table3[[#This Row],[Placement claim Highlight]]+Table3[[#This Row],[Highlight rule 6M]]+Table3[[#This Row],[Highlight rule 12 M]]</f>
        <v>1</v>
      </c>
      <c r="T379" s="6" t="e">
        <f>SUM(Table3[[#This Row],[Placement Fee]:[Salary]])</f>
        <v>#VALUE!</v>
      </c>
      <c r="U379" s="6"/>
      <c r="V379" s="6" t="e">
        <f>IF(Table1[[#This Row],[MoL]]="Yes",55,0)</f>
        <v>#VALUE!</v>
      </c>
      <c r="W379" s="6" t="e">
        <f>IF(Table1[[#This Row],[Long MoL +3 Years]]="Yes",137.5,0)</f>
        <v>#VALUE!</v>
      </c>
      <c r="X379" s="6" t="e">
        <f>IF(Table1[[#This Row],[Gender]]="Female",137.5,0)</f>
        <v>#VALUE!</v>
      </c>
      <c r="Y379" s="6" t="e">
        <f>IF(Table1[[#This Row],[Education]]="Bachelors +",55,0)</f>
        <v>#VALUE!</v>
      </c>
      <c r="Z379" s="6" t="e">
        <f>IF(Table1[[#This Row],[Salary]]&gt;=600,82.5,0)</f>
        <v>#VALUE!</v>
      </c>
    </row>
  </sheetData>
  <phoneticPr fontId="7" type="noConversion"/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BB1C99-E2D4-4AAA-8F3B-B25AFC7F1ABC}">
          <x14:formula1>
            <xm:f>Dropdown!$B$2:$B$3</xm:f>
          </x14:formula1>
          <xm:sqref>G2:G379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61CF-95E5-4763-BD08-411201AF8996}">
  <dimension ref="A1:I10"/>
  <sheetViews>
    <sheetView tabSelected="1" workbookViewId="0">
      <selection activeCell="K10" sqref="K10"/>
    </sheetView>
  </sheetViews>
  <sheetFormatPr defaultRowHeight="15"/>
  <cols>
    <col min="1" max="1" width="15.7109375" customWidth="1"/>
    <col min="4" max="4" width="10.42578125" bestFit="1" customWidth="1"/>
    <col min="5" max="5" width="13.140625" customWidth="1"/>
    <col min="6" max="6" width="28.28515625" bestFit="1" customWidth="1"/>
    <col min="7" max="7" width="14.28515625" customWidth="1"/>
  </cols>
  <sheetData>
    <row r="1" spans="1:9">
      <c r="A1" s="8" t="s">
        <v>1172</v>
      </c>
      <c r="B1" s="8" t="s">
        <v>25</v>
      </c>
      <c r="C1" s="8" t="s">
        <v>27</v>
      </c>
      <c r="D1" s="8" t="s">
        <v>28</v>
      </c>
      <c r="E1" s="8" t="s">
        <v>1173</v>
      </c>
      <c r="F1" s="8" t="s">
        <v>33</v>
      </c>
    </row>
    <row r="2" spans="1:9">
      <c r="A2" t="s">
        <v>10</v>
      </c>
      <c r="B2" t="s">
        <v>38</v>
      </c>
      <c r="C2" t="s">
        <v>39</v>
      </c>
      <c r="D2" t="s">
        <v>40</v>
      </c>
      <c r="E2" t="s">
        <v>1154</v>
      </c>
      <c r="F2" t="s">
        <v>44</v>
      </c>
      <c r="G2">
        <v>550</v>
      </c>
      <c r="H2">
        <v>330</v>
      </c>
      <c r="I2">
        <v>330</v>
      </c>
    </row>
    <row r="3" spans="1:9">
      <c r="A3" t="s">
        <v>6</v>
      </c>
      <c r="B3" t="s">
        <v>171</v>
      </c>
      <c r="C3" t="s">
        <v>56</v>
      </c>
      <c r="D3" t="s">
        <v>98</v>
      </c>
      <c r="E3" t="s">
        <v>1174</v>
      </c>
      <c r="F3" t="s">
        <v>89</v>
      </c>
      <c r="G3">
        <v>165</v>
      </c>
      <c r="H3">
        <v>165</v>
      </c>
      <c r="I3">
        <v>165</v>
      </c>
    </row>
    <row r="4" spans="1:9">
      <c r="A4" t="s">
        <v>1</v>
      </c>
      <c r="D4" t="s">
        <v>49</v>
      </c>
      <c r="E4" t="s">
        <v>1175</v>
      </c>
      <c r="F4" t="s">
        <v>1176</v>
      </c>
      <c r="G4">
        <v>275</v>
      </c>
    </row>
    <row r="5" spans="1:9">
      <c r="A5" t="s">
        <v>12</v>
      </c>
      <c r="E5" t="s">
        <v>1177</v>
      </c>
      <c r="F5" t="s">
        <v>1178</v>
      </c>
    </row>
    <row r="6" spans="1:9">
      <c r="A6" t="s">
        <v>9</v>
      </c>
      <c r="E6" t="s">
        <v>1179</v>
      </c>
      <c r="F6" t="s">
        <v>1180</v>
      </c>
    </row>
    <row r="7" spans="1:9">
      <c r="A7" t="s">
        <v>14</v>
      </c>
    </row>
    <row r="8" spans="1:9">
      <c r="A8" t="s">
        <v>312</v>
      </c>
    </row>
    <row r="9" spans="1:9">
      <c r="A9" t="s">
        <v>536</v>
      </c>
    </row>
    <row r="10" spans="1:9">
      <c r="A10" t="s">
        <v>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Placements 25</vt:lpstr>
      <vt:lpstr>Placements 26</vt:lpstr>
      <vt:lpstr>Claims 26</vt:lpstr>
      <vt:lpstr>Dropdown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AEB09</dc:creator>
  <cp:keywords/>
  <dc:description/>
  <cp:lastModifiedBy>Admin</cp:lastModifiedBy>
  <cp:revision/>
  <dcterms:created xsi:type="dcterms:W3CDTF">2026-01-11T13:31:41Z</dcterms:created>
  <dcterms:modified xsi:type="dcterms:W3CDTF">2026-10-25T09:24:08Z</dcterms:modified>
  <cp:category/>
  <cp:contentStatus/>
</cp:coreProperties>
</file>